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513500标普500" sheetId="1" r:id="rId1"/>
    <sheet name="513110纳斯达克100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<sst xmlns="http://schemas.openxmlformats.org/spreadsheetml/2006/main" count="61" uniqueCount="17">
  <si>
    <t>日期</t>
  </si>
  <si>
    <t>操作</t>
  </si>
  <si>
    <t>金额</t>
  </si>
  <si>
    <t>单价</t>
  </si>
  <si>
    <t>份额</t>
  </si>
  <si>
    <t>现金流</t>
  </si>
  <si>
    <t>买入</t>
  </si>
  <si>
    <t>总投入</t>
  </si>
  <si>
    <t>总卖出</t>
  </si>
  <si>
    <t>累计盈利</t>
  </si>
  <si>
    <t>收益率</t>
  </si>
  <si>
    <t>持有天数</t>
  </si>
  <si>
    <t>年化收益率</t>
  </si>
  <si>
    <t>最大回撤</t>
  </si>
  <si>
    <t>建议定投金额</t>
  </si>
  <si>
    <t>操作建议</t>
  </si>
  <si>
    <t>卖出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</si>
</sst>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1" fillId="0" borderId="0" xfId="0" applyNumberFormat="1" applyFont="1" applyFill="1" applyAlignment="1"/>
    <xf numFmtId="176" fontId="1" fillId="0" borderId="0" xfId="0" applyNumberFormat="1" applyFont="1" applyFill="1" applyAlignment="1"/>
    <xf numFmtId="1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2"/>
  <sheetViews>
    <sheetView workbookViewId="0">
      <selection activeCell="D27" sqref="D27"/>
    </sheetView>
  </sheetViews>
  <sheetFormatPr defaultColWidth="9" defaultRowHeight="13.5"/>
  <cols>
    <col min="1" max="1" width="11.5" style="1"/>
    <col min="2" max="10" width="9" style="1"/>
    <col min="11" max="11" width="18.375" style="1" customWidth="1"/>
    <col min="12" max="12" width="10.875" style="1" customWidth="1"/>
    <col min="13" max="16384" width="9" style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12">
      <c r="A2" s="3">
        <v>45909</v>
      </c>
      <c r="B2" s="1" t="s">
        <v>6</v>
      </c>
      <c r="C2" s="1">
        <v>4835.6</v>
      </c>
      <c r="D2" s="1">
        <v>2.198</v>
      </c>
      <c r="E2" s="1">
        <f>IF(B2="买入",C2/D2,IF(B2="卖出",-C2/D2,0))</f>
        <v>2200</v>
      </c>
      <c r="F2" s="1">
        <f>IF(B2="买入",-C2,IF(B2="卖出",C2,0))</f>
        <v>-4835.6</v>
      </c>
    </row>
    <row r="3" s="1" customFormat="1" spans="1:12">
      <c r="A3" s="3">
        <v>45923</v>
      </c>
      <c r="B3" s="1" t="s">
        <v>6</v>
      </c>
      <c r="C3" s="1">
        <v>4794.3</v>
      </c>
      <c r="D3" s="1">
        <v>2.283</v>
      </c>
      <c r="E3" s="1">
        <f>IF(B3="买入",C3/D3,IF(B3="卖出",-C3/D3,0))</f>
        <v>2100</v>
      </c>
      <c r="F3" s="1">
        <f>IF(B3="买入",-C3,IF(B3="卖出",C3,0))</f>
        <v>-4794.3</v>
      </c>
    </row>
    <row r="4" s="1" customFormat="1" spans="1:12">
      <c r="A4" s="3">
        <v>45939</v>
      </c>
      <c r="B4" s="1" t="s">
        <v>6</v>
      </c>
      <c r="C4" s="1">
        <v>4861.5</v>
      </c>
      <c r="D4" s="1">
        <v>2.315</v>
      </c>
      <c r="E4" s="1">
        <f>IF(B4="买入",C4/D4,IF(B4="卖出",-C4/D4,0))</f>
        <v>2100</v>
      </c>
      <c r="F4" s="1">
        <f>IF(B4="买入",-C4,IF(B4="卖出",C4,0))</f>
        <v>-4861.5</v>
      </c>
    </row>
    <row r="5" s="1" customFormat="1" spans="1:12">
      <c r="A5" s="3">
        <v>45943</v>
      </c>
      <c r="B5" s="1" t="s">
        <v>6</v>
      </c>
      <c r="C5" s="1">
        <v>4802.7</v>
      </c>
      <c r="D5" s="1">
        <v>2.287</v>
      </c>
      <c r="E5" s="1">
        <f>IF(B5="买入",C5/D5,IF(B5="卖出",-C5/D5,0))</f>
        <v>2100</v>
      </c>
      <c r="F5" s="1">
        <f>IF(B5="买入",-C5,IF(B5="卖出",C5,0))</f>
        <v>-4802.7</v>
      </c>
      <c r="K5" s="1" t="s">
        <v>7</v>
      </c>
      <c r="L5" s="1">
        <f>SUMIFS(C2:C24,B2:B24,"买入")</f>
        <v>97870.7</v>
      </c>
    </row>
    <row r="6" s="1" customFormat="1" spans="1:12">
      <c r="A6" s="3">
        <v>45951</v>
      </c>
      <c r="B6" s="1" t="s">
        <v>6</v>
      </c>
      <c r="C6" s="1">
        <v>4909.8</v>
      </c>
      <c r="D6" s="1">
        <v>2.338</v>
      </c>
      <c r="E6" s="1">
        <f>IF(B6="买入",C6/D6,IF(B6="卖出",-C6/D6,0))</f>
        <v>2100</v>
      </c>
      <c r="F6" s="1">
        <f>IF(B6="买入",-C6,IF(B6="卖出",C6,0))</f>
        <v>-4909.8</v>
      </c>
      <c r="K6" s="1" t="s">
        <v>8</v>
      </c>
      <c r="L6" s="1">
        <f>SUMIFS(C2:C24,B2:B24,"卖出")</f>
        <v>109404.5</v>
      </c>
    </row>
    <row r="7" s="1" customFormat="1" spans="1:12">
      <c r="A7" s="3">
        <v>45965</v>
      </c>
      <c r="B7" s="1" t="s">
        <v>6</v>
      </c>
      <c r="C7" s="1">
        <v>4938</v>
      </c>
      <c r="D7" s="1">
        <v>2.469</v>
      </c>
      <c r="E7" s="1">
        <f>IF(B7="买入",C7/D7,IF(B7="卖出",-C7/D7,0))</f>
        <v>2000</v>
      </c>
      <c r="F7" s="1">
        <f>IF(B7="买入",-C7,IF(B7="卖出",C7,0))</f>
        <v>-4938</v>
      </c>
    </row>
    <row r="8" s="1" customFormat="1" spans="1:12">
      <c r="A8" s="3">
        <v>45979</v>
      </c>
      <c r="B8" s="1" t="s">
        <v>6</v>
      </c>
      <c r="C8" s="1">
        <v>4856</v>
      </c>
      <c r="D8" s="1">
        <v>2.428</v>
      </c>
      <c r="E8" s="1">
        <f>IF(B8="买入",C8/D8,IF(B8="卖出",-C8/D8,0))</f>
        <v>2000</v>
      </c>
      <c r="F8" s="1">
        <f>IF(B8="买入",-C8,IF(B8="卖出",C8,0))</f>
        <v>-4856</v>
      </c>
    </row>
    <row r="9" s="1" customFormat="1" spans="1:12">
      <c r="A9" s="3">
        <v>45993</v>
      </c>
      <c r="B9" s="1" t="s">
        <v>6</v>
      </c>
      <c r="C9" s="1">
        <v>4918</v>
      </c>
      <c r="D9" s="1">
        <v>2.459</v>
      </c>
      <c r="E9" s="1">
        <f>IF(B9="买入",C9/D9,IF(B9="卖出",-C9/D9,0))</f>
        <v>2000</v>
      </c>
      <c r="F9" s="1">
        <f>IF(B9="买入",-C9,IF(B9="卖出",C9,0))</f>
        <v>-4918</v>
      </c>
      <c r="K9" s="1" t="s">
        <v>9</v>
      </c>
      <c r="L9" s="1">
        <f>L8+L6-L5</f>
        <v>11533.8</v>
      </c>
    </row>
    <row r="10" s="1" customFormat="1" spans="1:12">
      <c r="A10" s="3">
        <v>46007</v>
      </c>
      <c r="B10" s="1" t="s">
        <v>6</v>
      </c>
      <c r="C10" s="1">
        <v>4862</v>
      </c>
      <c r="D10" s="1">
        <v>2.431</v>
      </c>
      <c r="E10" s="1">
        <f>IF(B10="买入",C10/D10,IF(B10="卖出",-C10/D10,0))</f>
        <v>2000</v>
      </c>
      <c r="F10" s="1">
        <f>IF(B10="买入",-C10,IF(B10="卖出",C10,0))</f>
        <v>-4862</v>
      </c>
      <c r="K10" s="1" t="s">
        <v>10</v>
      </c>
      <c r="L10" s="5">
        <f>IFERROR(L9/L5,0)</f>
        <v>0.117847323049697</v>
      </c>
    </row>
    <row r="11" s="1" customFormat="1" spans="1:12">
      <c r="A11" s="3">
        <v>46021</v>
      </c>
      <c r="B11" s="1" t="s">
        <v>6</v>
      </c>
      <c r="C11" s="1">
        <v>4864</v>
      </c>
      <c r="D11" s="1">
        <v>2.432</v>
      </c>
      <c r="E11" s="1">
        <f>IF(B11="买入",C11/D11,IF(B11="卖出",-C11/D11,0))</f>
        <v>2000</v>
      </c>
      <c r="F11" s="1">
        <f>IF(B11="买入",-C11,IF(B11="卖出",C11,0))</f>
        <v>-4864</v>
      </c>
    </row>
    <row r="12" s="1" customFormat="1" spans="1:12">
      <c r="A12" s="3">
        <v>46035</v>
      </c>
      <c r="B12" s="1" t="s">
        <v>6</v>
      </c>
      <c r="C12" s="1">
        <v>4914</v>
      </c>
      <c r="D12" s="1">
        <v>2.457</v>
      </c>
      <c r="E12" s="1">
        <f>IF(B12="买入",C12/D12,IF(B12="卖出",-C12/D12,0))</f>
        <v>2000</v>
      </c>
      <c r="F12" s="1">
        <f>IF(B12="买入",-C12,IF(B12="卖出",C12,0))</f>
        <v>-4914</v>
      </c>
      <c r="K12" s="1" t="s">
        <v>11</v>
      </c>
      <c r="L12" s="1">
        <f ca="1">TODAY()-A2</f>
        <v>266</v>
      </c>
    </row>
    <row r="13" s="1" customFormat="1" spans="1:12">
      <c r="A13" s="3">
        <v>46049</v>
      </c>
      <c r="B13" s="1" t="s">
        <v>6</v>
      </c>
      <c r="C13" s="1">
        <v>4848</v>
      </c>
      <c r="D13" s="1">
        <v>2.424</v>
      </c>
      <c r="E13" s="1">
        <f>IF(B13="买入",C13/D13,IF(B13="卖出",-C13/D13,0))</f>
        <v>2000</v>
      </c>
      <c r="F13" s="1">
        <f>IF(B13="买入",-C13,IF(B13="卖出",C13,0))</f>
        <v>-4848</v>
      </c>
      <c r="K13" s="1" t="s">
        <v>12</v>
      </c>
      <c r="L13" s="5">
        <f ca="1">XIRR(F2:F24,A2:A24)</f>
        <v>0.280246031626223</v>
      </c>
    </row>
    <row r="14" s="1" customFormat="1" spans="1:12">
      <c r="A14" s="3">
        <v>46063</v>
      </c>
      <c r="B14" s="1" t="s">
        <v>6</v>
      </c>
      <c r="C14" s="1">
        <v>4768</v>
      </c>
      <c r="D14" s="1">
        <v>2.384</v>
      </c>
      <c r="E14" s="1">
        <f>IF(B14="买入",C14/D14,IF(B14="卖出",-C14/D14,0))</f>
        <v>2000</v>
      </c>
      <c r="F14" s="1">
        <f>IF(B14="买入",-C14,IF(B14="卖出",C14,0))</f>
        <v>-4768</v>
      </c>
      <c r="K14" s="1" t="s">
        <v>13</v>
      </c>
      <c r="L14" s="5">
        <f>MAX(D2:D22)-D24</f>
        <v>-0.174</v>
      </c>
    </row>
    <row r="15" s="1" customFormat="1" spans="1:12">
      <c r="A15" s="3">
        <v>46077</v>
      </c>
      <c r="B15" s="1" t="s">
        <v>6</v>
      </c>
      <c r="C15" s="1">
        <v>4989.6</v>
      </c>
      <c r="D15" s="1">
        <v>2.376</v>
      </c>
      <c r="E15" s="1">
        <f>IF(B15="买入",C15/D15,IF(B15="卖出",-C15/D15,0))</f>
        <v>2100</v>
      </c>
      <c r="F15" s="1">
        <f>IF(B15="买入",-C15,IF(B15="卖出",C15,0))</f>
        <v>-4989.6</v>
      </c>
    </row>
    <row r="16" s="1" customFormat="1" spans="1:12">
      <c r="A16" s="3">
        <v>46091</v>
      </c>
      <c r="B16" s="1" t="s">
        <v>6</v>
      </c>
      <c r="C16" s="1">
        <v>4859.4</v>
      </c>
      <c r="D16" s="1">
        <v>2.314</v>
      </c>
      <c r="E16" s="1">
        <f>IF(B16="买入",C16/D16,IF(B16="卖出",-C16/D16,0))</f>
        <v>2100</v>
      </c>
      <c r="F16" s="1">
        <f>IF(B16="买入",-C16,IF(B16="卖出",C16,0))</f>
        <v>-4859.4</v>
      </c>
      <c r="K16" s="1" t="s">
        <v>14</v>
      </c>
      <c r="L16" s="1">
        <f>IF(L14&gt;=0.3,20000,IF(L14&gt;=0.2,15000,IF(L14&gt;=0.1,10000,5000)))</f>
        <v>5000</v>
      </c>
    </row>
    <row r="17" s="1" customFormat="1" spans="1:12">
      <c r="A17" s="3">
        <v>46105</v>
      </c>
      <c r="B17" s="1" t="s">
        <v>6</v>
      </c>
      <c r="C17" s="1">
        <v>4993.3</v>
      </c>
      <c r="D17" s="1">
        <v>2.171</v>
      </c>
      <c r="E17" s="1">
        <f>IF(B17="买入",C17/D17,IF(B17="卖出",-C17/D17,0))</f>
        <v>2300</v>
      </c>
      <c r="F17" s="1">
        <f>IF(B17="买入",-C17,IF(B17="卖出",C17,0))</f>
        <v>-4993.3</v>
      </c>
      <c r="K17" s="1" t="s">
        <v>15</v>
      </c>
      <c r="L17" s="1" t="str">
        <f>IF(L14&gt;=0.3,"加仓3倍",IF(L14&gt;=0.2,"加仓2倍",IF(L14&gt;=0.1,"加仓1倍",IF(L10&gt;=0.3,"卖利润30%",IF(L10&gt;=0.2,"卖利润20%",IF(L10&gt;=0.1,"卖利润10%","继续定投"))))))</f>
        <v>卖利润10%</v>
      </c>
    </row>
    <row r="18" s="1" customFormat="1" spans="1:12">
      <c r="A18" s="3">
        <v>46119</v>
      </c>
      <c r="B18" s="1" t="s">
        <v>6</v>
      </c>
      <c r="C18" s="1">
        <v>4864.2</v>
      </c>
      <c r="D18" s="1">
        <v>2.211</v>
      </c>
      <c r="E18" s="1">
        <f>IF(B18="买入",C18/D18,IF(B18="卖出",-C18/D18,0))</f>
        <v>2200</v>
      </c>
      <c r="F18" s="1">
        <f>IF(B18="买入",-C18,IF(B18="卖出",C18,0))</f>
        <v>-4864.2</v>
      </c>
    </row>
    <row r="19" s="1" customFormat="1" spans="1:12">
      <c r="A19" s="3">
        <v>46133</v>
      </c>
      <c r="B19" s="1" t="s">
        <v>6</v>
      </c>
      <c r="C19" s="1">
        <v>4956</v>
      </c>
      <c r="D19" s="1">
        <v>2.36</v>
      </c>
      <c r="E19" s="1">
        <f>IF(B19="买入",C19/D19,IF(B19="卖出",-C19/D19,0))</f>
        <v>2100</v>
      </c>
      <c r="F19" s="1">
        <f>IF(B19="买入",-C19,IF(B19="卖出",C19,0))</f>
        <v>-4956</v>
      </c>
    </row>
    <row r="20" s="1" customFormat="1" spans="1:12">
      <c r="A20" s="3">
        <v>46148</v>
      </c>
      <c r="B20" s="1" t="s">
        <v>16</v>
      </c>
      <c r="C20" s="1">
        <v>3676.5</v>
      </c>
      <c r="D20" s="1">
        <v>2.451</v>
      </c>
      <c r="E20" s="1">
        <f>IF(B20="买入",C20/D20,IF(B20="卖出",-C20/D20,0))</f>
        <v>-1500</v>
      </c>
      <c r="F20" s="1">
        <f>IF(B20="买入",-C20,IF(B20="卖出",C20,0))</f>
        <v>3676.5</v>
      </c>
    </row>
    <row r="21" s="1" customFormat="1" spans="1:12">
      <c r="A21" s="3">
        <v>46148</v>
      </c>
      <c r="B21" s="1" t="s">
        <v>6</v>
      </c>
      <c r="C21" s="1">
        <v>4906</v>
      </c>
      <c r="D21" s="1">
        <v>2.453</v>
      </c>
      <c r="E21" s="1">
        <f>IF(B21="买入",C21/D21,IF(B21="卖出",-C21/D21,0))</f>
        <v>2000</v>
      </c>
      <c r="F21" s="1">
        <f>IF(B21="买入",-C21,IF(B21="卖出",C21,0))</f>
        <v>-4906</v>
      </c>
    </row>
    <row r="22" s="1" customFormat="1" spans="1:12">
      <c r="A22" s="3">
        <v>45796</v>
      </c>
      <c r="B22" s="1" t="s">
        <v>6</v>
      </c>
      <c r="C22" s="1">
        <v>5130.3</v>
      </c>
      <c r="D22" s="1">
        <v>2.443</v>
      </c>
      <c r="E22" s="1">
        <f>IF(B22="买入",C22/D22,IF(B22="卖出",-C22/D22,0))</f>
        <v>2100</v>
      </c>
      <c r="F22" s="1">
        <f>IF(B22="买入",-C22,IF(B22="卖出",C22,0))</f>
        <v>-5130.3</v>
      </c>
    </row>
    <row r="23" s="1" customFormat="1" spans="1:12">
      <c r="A23" s="3">
        <v>46175</v>
      </c>
      <c r="B23" s="1" t="s">
        <v>16</v>
      </c>
      <c r="C23" s="1">
        <v>10580</v>
      </c>
      <c r="D23" s="1">
        <v>2.645</v>
      </c>
      <c r="E23" s="1">
        <f>IF(B23="买入",C23/D23,IF(B23="卖出",-C23/D23,0))</f>
        <v>-4000</v>
      </c>
      <c r="F23" s="1">
        <f>IF(B23="买入",-C23,IF(B23="卖出",C23,0))</f>
        <v>10580</v>
      </c>
    </row>
    <row r="24" s="1" customFormat="1" spans="1:12">
      <c r="A24" s="3">
        <f ca="1">TODAY()</f>
        <v>46175</v>
      </c>
      <c r="B24" s="1" t="s">
        <v>16</v>
      </c>
      <c r="C24" s="1">
        <v>95148</v>
      </c>
      <c r="D24" s="1">
        <v>2.643</v>
      </c>
      <c r="E24" s="1">
        <f t="shared" ref="E24:E66" si="0">IF(B24="买入",C24/D24,IF(B24="卖出",-C24/D24,0))</f>
        <v>-36000</v>
      </c>
      <c r="F24" s="1">
        <f t="shared" ref="F24:F66" si="1">IF(B24="买入",-C24,IF(B24="卖出",C24,0))</f>
        <v>95148</v>
      </c>
    </row>
    <row r="25" s="1" customFormat="1" spans="1:12">
      <c r="E25" s="1">
        <f t="shared" si="0"/>
        <v>0</v>
      </c>
      <c r="F25" s="1">
        <f t="shared" si="1"/>
        <v>0</v>
      </c>
    </row>
    <row r="26" s="1" customFormat="1" spans="1:12">
      <c r="E26" s="1">
        <f t="shared" si="0"/>
        <v>0</v>
      </c>
      <c r="F26" s="1">
        <f t="shared" si="1"/>
        <v>0</v>
      </c>
    </row>
    <row r="27" s="1" customFormat="1" spans="1:12">
      <c r="E27" s="1">
        <f t="shared" si="0"/>
        <v>0</v>
      </c>
      <c r="F27" s="1">
        <f t="shared" si="1"/>
        <v>0</v>
      </c>
    </row>
    <row r="28" s="1" customFormat="1" spans="1:12">
      <c r="E28" s="1">
        <f t="shared" si="0"/>
        <v>0</v>
      </c>
      <c r="F28" s="1">
        <f t="shared" si="1"/>
        <v>0</v>
      </c>
    </row>
    <row r="29" s="1" customFormat="1" spans="1:12">
      <c r="E29" s="1">
        <f t="shared" si="0"/>
        <v>0</v>
      </c>
      <c r="F29" s="1">
        <f t="shared" si="1"/>
        <v>0</v>
      </c>
    </row>
    <row r="30" s="1" customFormat="1" spans="1:12">
      <c r="E30" s="1">
        <f t="shared" si="0"/>
        <v>0</v>
      </c>
      <c r="F30" s="1">
        <f t="shared" si="1"/>
        <v>0</v>
      </c>
    </row>
    <row r="31" s="1" customFormat="1" spans="1:12">
      <c r="E31" s="1">
        <f t="shared" si="0"/>
        <v>0</v>
      </c>
      <c r="F31" s="1">
        <f t="shared" si="1"/>
        <v>0</v>
      </c>
    </row>
    <row r="32" s="1" customFormat="1" spans="1:12">
      <c r="E32" s="1">
        <f t="shared" si="0"/>
        <v>0</v>
      </c>
      <c r="F32" s="1">
        <f t="shared" si="1"/>
        <v>0</v>
      </c>
    </row>
    <row r="33" s="1" customFormat="1" spans="5:6">
      <c r="E33" s="1">
        <f t="shared" si="0"/>
        <v>0</v>
      </c>
      <c r="F33" s="1">
        <f t="shared" si="1"/>
        <v>0</v>
      </c>
    </row>
    <row r="34" s="1" customFormat="1" spans="5:6">
      <c r="E34" s="1">
        <f t="shared" si="0"/>
        <v>0</v>
      </c>
      <c r="F34" s="1">
        <f t="shared" si="1"/>
        <v>0</v>
      </c>
    </row>
    <row r="35" s="1" customFormat="1" spans="5:6">
      <c r="E35" s="1">
        <f t="shared" si="0"/>
        <v>0</v>
      </c>
      <c r="F35" s="1">
        <f t="shared" si="1"/>
        <v>0</v>
      </c>
    </row>
    <row r="36" s="1" customFormat="1" spans="5:6">
      <c r="E36" s="1">
        <f t="shared" si="0"/>
        <v>0</v>
      </c>
      <c r="F36" s="1">
        <f t="shared" si="1"/>
        <v>0</v>
      </c>
    </row>
    <row r="37" s="1" customFormat="1" spans="5:6">
      <c r="E37" s="1">
        <f t="shared" si="0"/>
        <v>0</v>
      </c>
      <c r="F37" s="1">
        <f t="shared" si="1"/>
        <v>0</v>
      </c>
    </row>
    <row r="38" s="1" customFormat="1" spans="5:6">
      <c r="E38" s="1">
        <f t="shared" si="0"/>
        <v>0</v>
      </c>
      <c r="F38" s="1">
        <f t="shared" si="1"/>
        <v>0</v>
      </c>
    </row>
    <row r="39" s="1" customFormat="1" spans="5:6">
      <c r="E39" s="1">
        <f t="shared" si="0"/>
        <v>0</v>
      </c>
      <c r="F39" s="1">
        <f t="shared" si="1"/>
        <v>0</v>
      </c>
    </row>
    <row r="40" s="1" customFormat="1" spans="5:6">
      <c r="E40" s="1">
        <f t="shared" si="0"/>
        <v>0</v>
      </c>
      <c r="F40" s="1">
        <f t="shared" si="1"/>
        <v>0</v>
      </c>
    </row>
    <row r="41" s="1" customFormat="1" spans="5:6">
      <c r="E41" s="1">
        <f t="shared" si="0"/>
        <v>0</v>
      </c>
      <c r="F41" s="1">
        <f t="shared" si="1"/>
        <v>0</v>
      </c>
    </row>
    <row r="42" s="1" customFormat="1" spans="5:6">
      <c r="E42" s="1">
        <f t="shared" si="0"/>
        <v>0</v>
      </c>
      <c r="F42" s="1">
        <f t="shared" si="1"/>
        <v>0</v>
      </c>
    </row>
    <row r="43" s="1" customFormat="1" spans="5:6">
      <c r="E43" s="1">
        <f t="shared" si="0"/>
        <v>0</v>
      </c>
      <c r="F43" s="1">
        <f t="shared" si="1"/>
        <v>0</v>
      </c>
    </row>
    <row r="44" s="1" customFormat="1" spans="5:6">
      <c r="E44" s="1">
        <f t="shared" si="0"/>
        <v>0</v>
      </c>
      <c r="F44" s="1">
        <f t="shared" si="1"/>
        <v>0</v>
      </c>
    </row>
    <row r="45" s="1" customFormat="1" spans="5:6">
      <c r="E45" s="1">
        <f t="shared" si="0"/>
        <v>0</v>
      </c>
      <c r="F45" s="1">
        <f t="shared" si="1"/>
        <v>0</v>
      </c>
    </row>
    <row r="46" s="1" customFormat="1" spans="5:6">
      <c r="E46" s="1">
        <f t="shared" si="0"/>
        <v>0</v>
      </c>
      <c r="F46" s="1">
        <f t="shared" si="1"/>
        <v>0</v>
      </c>
    </row>
    <row r="47" s="1" customFormat="1" spans="5:6">
      <c r="E47" s="1">
        <f t="shared" si="0"/>
        <v>0</v>
      </c>
      <c r="F47" s="1">
        <f t="shared" si="1"/>
        <v>0</v>
      </c>
    </row>
    <row r="48" s="1" customFormat="1" spans="5:6">
      <c r="E48" s="1">
        <f t="shared" si="0"/>
        <v>0</v>
      </c>
      <c r="F48" s="1">
        <f t="shared" si="1"/>
        <v>0</v>
      </c>
    </row>
    <row r="49" s="1" customFormat="1" spans="5:6">
      <c r="E49" s="1">
        <f t="shared" si="0"/>
        <v>0</v>
      </c>
      <c r="F49" s="1">
        <f t="shared" si="1"/>
        <v>0</v>
      </c>
    </row>
    <row r="50" s="1" customFormat="1" spans="5:6">
      <c r="E50" s="1">
        <f t="shared" si="0"/>
        <v>0</v>
      </c>
      <c r="F50" s="1">
        <f t="shared" si="1"/>
        <v>0</v>
      </c>
    </row>
    <row r="51" s="1" customFormat="1" spans="5:6">
      <c r="E51" s="1">
        <f t="shared" si="0"/>
        <v>0</v>
      </c>
      <c r="F51" s="1">
        <f t="shared" si="1"/>
        <v>0</v>
      </c>
    </row>
    <row r="52" s="1" customFormat="1" spans="5:6">
      <c r="E52" s="1">
        <f t="shared" si="0"/>
        <v>0</v>
      </c>
      <c r="F52" s="1">
        <f t="shared" si="1"/>
        <v>0</v>
      </c>
    </row>
    <row r="53" s="1" customFormat="1" spans="5:6">
      <c r="E53" s="1">
        <f t="shared" si="0"/>
        <v>0</v>
      </c>
      <c r="F53" s="1">
        <f t="shared" si="1"/>
        <v>0</v>
      </c>
    </row>
    <row r="54" s="1" customFormat="1" spans="5:6">
      <c r="E54" s="1">
        <f t="shared" si="0"/>
        <v>0</v>
      </c>
      <c r="F54" s="1">
        <f t="shared" si="1"/>
        <v>0</v>
      </c>
    </row>
    <row r="55" s="1" customFormat="1" spans="5:6">
      <c r="E55" s="1">
        <f t="shared" si="0"/>
        <v>0</v>
      </c>
      <c r="F55" s="1">
        <f t="shared" si="1"/>
        <v>0</v>
      </c>
    </row>
    <row r="56" s="1" customFormat="1" spans="5:6">
      <c r="E56" s="1">
        <f t="shared" si="0"/>
        <v>0</v>
      </c>
      <c r="F56" s="1">
        <f t="shared" si="1"/>
        <v>0</v>
      </c>
    </row>
    <row r="57" s="1" customFormat="1" spans="5:6">
      <c r="E57" s="1">
        <f t="shared" si="0"/>
        <v>0</v>
      </c>
      <c r="F57" s="1">
        <f t="shared" si="1"/>
        <v>0</v>
      </c>
    </row>
    <row r="58" s="1" customFormat="1" spans="5:6">
      <c r="E58" s="1">
        <f t="shared" si="0"/>
        <v>0</v>
      </c>
      <c r="F58" s="1">
        <f t="shared" si="1"/>
        <v>0</v>
      </c>
    </row>
    <row r="59" s="1" customFormat="1" spans="5:6">
      <c r="E59" s="1">
        <f t="shared" si="0"/>
        <v>0</v>
      </c>
      <c r="F59" s="1">
        <f t="shared" si="1"/>
        <v>0</v>
      </c>
    </row>
    <row r="60" s="1" customFormat="1" spans="5:6">
      <c r="E60" s="1">
        <f t="shared" si="0"/>
        <v>0</v>
      </c>
      <c r="F60" s="1">
        <f t="shared" si="1"/>
        <v>0</v>
      </c>
    </row>
    <row r="61" s="1" customFormat="1" spans="5:6">
      <c r="E61" s="1">
        <f t="shared" si="0"/>
        <v>0</v>
      </c>
      <c r="F61" s="1">
        <f t="shared" si="1"/>
        <v>0</v>
      </c>
    </row>
    <row r="62" s="1" customFormat="1" spans="5:6">
      <c r="E62" s="1">
        <f t="shared" si="0"/>
        <v>0</v>
      </c>
      <c r="F62" s="1">
        <f t="shared" si="1"/>
        <v>0</v>
      </c>
    </row>
    <row r="63" s="1" customFormat="1" spans="5:6">
      <c r="E63" s="1">
        <f t="shared" si="0"/>
        <v>0</v>
      </c>
      <c r="F63" s="1">
        <f t="shared" si="1"/>
        <v>0</v>
      </c>
    </row>
    <row r="64" s="1" customFormat="1" spans="5:6">
      <c r="E64" s="1">
        <f t="shared" si="0"/>
        <v>0</v>
      </c>
      <c r="F64" s="1">
        <f t="shared" si="1"/>
        <v>0</v>
      </c>
    </row>
    <row r="65" s="1" customFormat="1" spans="5:6">
      <c r="E65" s="1">
        <f t="shared" si="0"/>
        <v>0</v>
      </c>
      <c r="F65" s="1">
        <f t="shared" si="1"/>
        <v>0</v>
      </c>
    </row>
    <row r="66" s="1" customFormat="1" spans="5:6">
      <c r="E66" s="1">
        <f t="shared" si="0"/>
        <v>0</v>
      </c>
      <c r="F66" s="1">
        <f t="shared" si="1"/>
        <v>0</v>
      </c>
    </row>
    <row r="67" s="1" customFormat="1" spans="5:6">
      <c r="E67" s="1">
        <f t="shared" ref="E67:E130" si="2">IF(B67="买入",C67/D67,IF(B67="卖出",-C67/D67,0))</f>
        <v>0</v>
      </c>
      <c r="F67" s="1">
        <f t="shared" ref="F67:F130" si="3">IF(B67="买入",-C67,IF(B67="卖出",C67,0))</f>
        <v>0</v>
      </c>
    </row>
    <row r="68" s="1" customFormat="1" spans="5:6">
      <c r="E68" s="1">
        <f t="shared" si="2"/>
        <v>0</v>
      </c>
      <c r="F68" s="1">
        <f t="shared" si="3"/>
        <v>0</v>
      </c>
    </row>
    <row r="69" s="1" customFormat="1" spans="5:6">
      <c r="E69" s="1">
        <f t="shared" si="2"/>
        <v>0</v>
      </c>
      <c r="F69" s="1">
        <f t="shared" si="3"/>
        <v>0</v>
      </c>
    </row>
    <row r="70" s="1" customFormat="1" spans="5:6">
      <c r="E70" s="1">
        <f t="shared" si="2"/>
        <v>0</v>
      </c>
      <c r="F70" s="1">
        <f t="shared" si="3"/>
        <v>0</v>
      </c>
    </row>
    <row r="71" s="1" customFormat="1" spans="5:6">
      <c r="E71" s="1">
        <f t="shared" si="2"/>
        <v>0</v>
      </c>
      <c r="F71" s="1">
        <f t="shared" si="3"/>
        <v>0</v>
      </c>
    </row>
    <row r="72" s="1" customFormat="1" spans="5:6">
      <c r="E72" s="1">
        <f t="shared" si="2"/>
        <v>0</v>
      </c>
      <c r="F72" s="1">
        <f t="shared" si="3"/>
        <v>0</v>
      </c>
    </row>
    <row r="73" s="1" customFormat="1" spans="5:6">
      <c r="E73" s="1">
        <f t="shared" si="2"/>
        <v>0</v>
      </c>
      <c r="F73" s="1">
        <f t="shared" si="3"/>
        <v>0</v>
      </c>
    </row>
    <row r="74" s="1" customFormat="1" spans="5:6">
      <c r="E74" s="1">
        <f t="shared" si="2"/>
        <v>0</v>
      </c>
      <c r="F74" s="1">
        <f t="shared" si="3"/>
        <v>0</v>
      </c>
    </row>
    <row r="75" s="1" customFormat="1" spans="5:6">
      <c r="E75" s="1">
        <f t="shared" si="2"/>
        <v>0</v>
      </c>
      <c r="F75" s="1">
        <f t="shared" si="3"/>
        <v>0</v>
      </c>
    </row>
    <row r="76" s="1" customFormat="1" spans="5:6">
      <c r="E76" s="1">
        <f t="shared" si="2"/>
        <v>0</v>
      </c>
      <c r="F76" s="1">
        <f t="shared" si="3"/>
        <v>0</v>
      </c>
    </row>
    <row r="77" s="1" customFormat="1" spans="5:6">
      <c r="E77" s="1">
        <f t="shared" si="2"/>
        <v>0</v>
      </c>
      <c r="F77" s="1">
        <f t="shared" si="3"/>
        <v>0</v>
      </c>
    </row>
    <row r="78" s="1" customFormat="1" spans="5:6">
      <c r="E78" s="1">
        <f t="shared" si="2"/>
        <v>0</v>
      </c>
      <c r="F78" s="1">
        <f t="shared" si="3"/>
        <v>0</v>
      </c>
    </row>
    <row r="79" s="1" customFormat="1" spans="5:6">
      <c r="E79" s="1">
        <f t="shared" si="2"/>
        <v>0</v>
      </c>
      <c r="F79" s="1">
        <f t="shared" si="3"/>
        <v>0</v>
      </c>
    </row>
    <row r="80" s="1" customFormat="1" spans="5:6">
      <c r="E80" s="1">
        <f t="shared" si="2"/>
        <v>0</v>
      </c>
      <c r="F80" s="1">
        <f t="shared" si="3"/>
        <v>0</v>
      </c>
    </row>
    <row r="81" s="1" customFormat="1" spans="5:6">
      <c r="E81" s="1">
        <f t="shared" si="2"/>
        <v>0</v>
      </c>
      <c r="F81" s="1">
        <f t="shared" si="3"/>
        <v>0</v>
      </c>
    </row>
    <row r="82" s="1" customFormat="1" spans="5:6">
      <c r="E82" s="1">
        <f t="shared" si="2"/>
        <v>0</v>
      </c>
      <c r="F82" s="1">
        <f t="shared" si="3"/>
        <v>0</v>
      </c>
    </row>
    <row r="83" s="1" customFormat="1" spans="5:6">
      <c r="E83" s="1">
        <f t="shared" si="2"/>
        <v>0</v>
      </c>
      <c r="F83" s="1">
        <f t="shared" si="3"/>
        <v>0</v>
      </c>
    </row>
    <row r="84" s="1" customFormat="1" spans="5:6">
      <c r="E84" s="1">
        <f t="shared" si="2"/>
        <v>0</v>
      </c>
      <c r="F84" s="1">
        <f t="shared" si="3"/>
        <v>0</v>
      </c>
    </row>
    <row r="85" s="1" customFormat="1" spans="5:6">
      <c r="E85" s="1">
        <f t="shared" si="2"/>
        <v>0</v>
      </c>
      <c r="F85" s="1">
        <f t="shared" si="3"/>
        <v>0</v>
      </c>
    </row>
    <row r="86" s="1" customFormat="1" spans="5:6">
      <c r="E86" s="1">
        <f t="shared" si="2"/>
        <v>0</v>
      </c>
      <c r="F86" s="1">
        <f t="shared" si="3"/>
        <v>0</v>
      </c>
    </row>
    <row r="87" s="1" customFormat="1" spans="5:6">
      <c r="E87" s="1">
        <f t="shared" si="2"/>
        <v>0</v>
      </c>
      <c r="F87" s="1">
        <f t="shared" si="3"/>
        <v>0</v>
      </c>
    </row>
    <row r="88" s="1" customFormat="1" spans="5:6">
      <c r="E88" s="1">
        <f t="shared" si="2"/>
        <v>0</v>
      </c>
      <c r="F88" s="1">
        <f t="shared" si="3"/>
        <v>0</v>
      </c>
    </row>
    <row r="89" s="1" customFormat="1" spans="5:6">
      <c r="E89" s="1">
        <f t="shared" si="2"/>
        <v>0</v>
      </c>
      <c r="F89" s="1">
        <f t="shared" si="3"/>
        <v>0</v>
      </c>
    </row>
    <row r="90" s="1" customFormat="1" spans="5:6">
      <c r="E90" s="1">
        <f t="shared" si="2"/>
        <v>0</v>
      </c>
      <c r="F90" s="1">
        <f t="shared" si="3"/>
        <v>0</v>
      </c>
    </row>
    <row r="91" s="1" customFormat="1" spans="5:6">
      <c r="E91" s="1">
        <f t="shared" si="2"/>
        <v>0</v>
      </c>
      <c r="F91" s="1">
        <f t="shared" si="3"/>
        <v>0</v>
      </c>
    </row>
    <row r="92" s="1" customFormat="1" spans="5:6">
      <c r="E92" s="1">
        <f t="shared" si="2"/>
        <v>0</v>
      </c>
      <c r="F92" s="1">
        <f t="shared" si="3"/>
        <v>0</v>
      </c>
    </row>
    <row r="93" s="1" customFormat="1" spans="5:6">
      <c r="E93" s="1">
        <f t="shared" si="2"/>
        <v>0</v>
      </c>
      <c r="F93" s="1">
        <f t="shared" si="3"/>
        <v>0</v>
      </c>
    </row>
    <row r="94" s="1" customFormat="1" spans="5:6">
      <c r="E94" s="1">
        <f t="shared" si="2"/>
        <v>0</v>
      </c>
      <c r="F94" s="1">
        <f t="shared" si="3"/>
        <v>0</v>
      </c>
    </row>
    <row r="95" s="1" customFormat="1" spans="5:6">
      <c r="E95" s="1">
        <f t="shared" si="2"/>
        <v>0</v>
      </c>
      <c r="F95" s="1">
        <f t="shared" si="3"/>
        <v>0</v>
      </c>
    </row>
    <row r="96" s="1" customFormat="1" spans="5:6">
      <c r="E96" s="1">
        <f t="shared" si="2"/>
        <v>0</v>
      </c>
      <c r="F96" s="1">
        <f t="shared" si="3"/>
        <v>0</v>
      </c>
    </row>
    <row r="97" s="1" customFormat="1" spans="5:6">
      <c r="E97" s="1">
        <f t="shared" si="2"/>
        <v>0</v>
      </c>
      <c r="F97" s="1">
        <f t="shared" si="3"/>
        <v>0</v>
      </c>
    </row>
    <row r="98" s="1" customFormat="1" spans="5:6">
      <c r="E98" s="1">
        <f t="shared" si="2"/>
        <v>0</v>
      </c>
      <c r="F98" s="1">
        <f t="shared" si="3"/>
        <v>0</v>
      </c>
    </row>
    <row r="99" s="1" customFormat="1" spans="5:6">
      <c r="E99" s="1">
        <f t="shared" si="2"/>
        <v>0</v>
      </c>
      <c r="F99" s="1">
        <f t="shared" si="3"/>
        <v>0</v>
      </c>
    </row>
    <row r="100" s="1" customFormat="1" spans="5:6">
      <c r="E100" s="1">
        <f t="shared" si="2"/>
        <v>0</v>
      </c>
      <c r="F100" s="1">
        <f t="shared" si="3"/>
        <v>0</v>
      </c>
    </row>
    <row r="101" s="1" customFormat="1" spans="5:6">
      <c r="E101" s="1">
        <f t="shared" si="2"/>
        <v>0</v>
      </c>
      <c r="F101" s="1">
        <f t="shared" si="3"/>
        <v>0</v>
      </c>
    </row>
    <row r="102" s="1" customFormat="1" spans="5:6">
      <c r="E102" s="1">
        <f t="shared" si="2"/>
        <v>0</v>
      </c>
      <c r="F102" s="1">
        <f t="shared" si="3"/>
        <v>0</v>
      </c>
    </row>
    <row r="103" s="1" customFormat="1" spans="5:6">
      <c r="E103" s="1">
        <f t="shared" si="2"/>
        <v>0</v>
      </c>
      <c r="F103" s="1">
        <f t="shared" si="3"/>
        <v>0</v>
      </c>
    </row>
    <row r="104" s="1" customFormat="1" spans="5:6">
      <c r="E104" s="1">
        <f t="shared" si="2"/>
        <v>0</v>
      </c>
      <c r="F104" s="1">
        <f t="shared" si="3"/>
        <v>0</v>
      </c>
    </row>
    <row r="105" s="1" customFormat="1" spans="5:6">
      <c r="E105" s="1">
        <f t="shared" si="2"/>
        <v>0</v>
      </c>
      <c r="F105" s="1">
        <f t="shared" si="3"/>
        <v>0</v>
      </c>
    </row>
    <row r="106" s="1" customFormat="1" spans="5:6">
      <c r="E106" s="1">
        <f t="shared" si="2"/>
        <v>0</v>
      </c>
      <c r="F106" s="1">
        <f t="shared" si="3"/>
        <v>0</v>
      </c>
    </row>
    <row r="107" s="1" customFormat="1" spans="5:6">
      <c r="E107" s="1">
        <f t="shared" si="2"/>
        <v>0</v>
      </c>
      <c r="F107" s="1">
        <f t="shared" si="3"/>
        <v>0</v>
      </c>
    </row>
    <row r="108" s="1" customFormat="1" spans="5:6">
      <c r="E108" s="1">
        <f t="shared" si="2"/>
        <v>0</v>
      </c>
      <c r="F108" s="1">
        <f t="shared" si="3"/>
        <v>0</v>
      </c>
    </row>
    <row r="109" s="1" customFormat="1" spans="5:6">
      <c r="E109" s="1">
        <f t="shared" si="2"/>
        <v>0</v>
      </c>
      <c r="F109" s="1">
        <f t="shared" si="3"/>
        <v>0</v>
      </c>
    </row>
    <row r="110" s="1" customFormat="1" spans="5:6">
      <c r="E110" s="1">
        <f t="shared" si="2"/>
        <v>0</v>
      </c>
      <c r="F110" s="1">
        <f t="shared" si="3"/>
        <v>0</v>
      </c>
    </row>
    <row r="111" s="1" customFormat="1" spans="5:6">
      <c r="E111" s="1">
        <f t="shared" si="2"/>
        <v>0</v>
      </c>
      <c r="F111" s="1">
        <f t="shared" si="3"/>
        <v>0</v>
      </c>
    </row>
    <row r="112" s="1" customFormat="1" spans="5:6">
      <c r="E112" s="1">
        <f t="shared" si="2"/>
        <v>0</v>
      </c>
      <c r="F112" s="1">
        <f t="shared" si="3"/>
        <v>0</v>
      </c>
    </row>
    <row r="113" s="1" customFormat="1" spans="5:6">
      <c r="E113" s="1">
        <f t="shared" si="2"/>
        <v>0</v>
      </c>
      <c r="F113" s="1">
        <f t="shared" si="3"/>
        <v>0</v>
      </c>
    </row>
    <row r="114" s="1" customFormat="1" spans="5:6">
      <c r="E114" s="1">
        <f t="shared" si="2"/>
        <v>0</v>
      </c>
      <c r="F114" s="1">
        <f t="shared" si="3"/>
        <v>0</v>
      </c>
    </row>
    <row r="115" s="1" customFormat="1" spans="5:6">
      <c r="E115" s="1">
        <f t="shared" si="2"/>
        <v>0</v>
      </c>
      <c r="F115" s="1">
        <f t="shared" si="3"/>
        <v>0</v>
      </c>
    </row>
    <row r="116" s="1" customFormat="1" spans="5:6">
      <c r="E116" s="1">
        <f t="shared" si="2"/>
        <v>0</v>
      </c>
      <c r="F116" s="1">
        <f t="shared" si="3"/>
        <v>0</v>
      </c>
    </row>
    <row r="117" s="1" customFormat="1" spans="5:6">
      <c r="E117" s="1">
        <f t="shared" si="2"/>
        <v>0</v>
      </c>
      <c r="F117" s="1">
        <f t="shared" si="3"/>
        <v>0</v>
      </c>
    </row>
    <row r="118" s="1" customFormat="1" spans="5:6">
      <c r="E118" s="1">
        <f t="shared" si="2"/>
        <v>0</v>
      </c>
      <c r="F118" s="1">
        <f t="shared" si="3"/>
        <v>0</v>
      </c>
    </row>
    <row r="119" s="1" customFormat="1" spans="5:6">
      <c r="E119" s="1">
        <f t="shared" si="2"/>
        <v>0</v>
      </c>
      <c r="F119" s="1">
        <f t="shared" si="3"/>
        <v>0</v>
      </c>
    </row>
    <row r="120" s="1" customFormat="1" spans="5:6">
      <c r="E120" s="1">
        <f t="shared" si="2"/>
        <v>0</v>
      </c>
      <c r="F120" s="1">
        <f t="shared" si="3"/>
        <v>0</v>
      </c>
    </row>
    <row r="121" s="1" customFormat="1" spans="5:6">
      <c r="E121" s="1">
        <f t="shared" si="2"/>
        <v>0</v>
      </c>
      <c r="F121" s="1">
        <f t="shared" si="3"/>
        <v>0</v>
      </c>
    </row>
    <row r="122" s="1" customFormat="1" spans="5:6">
      <c r="E122" s="1">
        <f t="shared" si="2"/>
        <v>0</v>
      </c>
      <c r="F122" s="1">
        <f t="shared" si="3"/>
        <v>0</v>
      </c>
    </row>
    <row r="123" s="1" customFormat="1" spans="5:6">
      <c r="E123" s="1">
        <f t="shared" si="2"/>
        <v>0</v>
      </c>
      <c r="F123" s="1">
        <f t="shared" si="3"/>
        <v>0</v>
      </c>
    </row>
    <row r="124" s="1" customFormat="1" spans="5:6">
      <c r="E124" s="1">
        <f t="shared" si="2"/>
        <v>0</v>
      </c>
      <c r="F124" s="1">
        <f t="shared" si="3"/>
        <v>0</v>
      </c>
    </row>
    <row r="125" s="1" customFormat="1" spans="5:6">
      <c r="E125" s="1">
        <f t="shared" si="2"/>
        <v>0</v>
      </c>
      <c r="F125" s="1">
        <f t="shared" si="3"/>
        <v>0</v>
      </c>
    </row>
    <row r="126" s="1" customFormat="1" spans="5:6">
      <c r="E126" s="1">
        <f t="shared" si="2"/>
        <v>0</v>
      </c>
      <c r="F126" s="1">
        <f t="shared" si="3"/>
        <v>0</v>
      </c>
    </row>
    <row r="127" s="1" customFormat="1" spans="5:6">
      <c r="E127" s="1">
        <f t="shared" si="2"/>
        <v>0</v>
      </c>
      <c r="F127" s="1">
        <f t="shared" si="3"/>
        <v>0</v>
      </c>
    </row>
    <row r="128" s="1" customFormat="1" spans="5:6">
      <c r="E128" s="1">
        <f t="shared" si="2"/>
        <v>0</v>
      </c>
      <c r="F128" s="1">
        <f t="shared" si="3"/>
        <v>0</v>
      </c>
    </row>
    <row r="129" s="1" customFormat="1" spans="5:6">
      <c r="E129" s="1">
        <f t="shared" si="2"/>
        <v>0</v>
      </c>
      <c r="F129" s="1">
        <f t="shared" si="3"/>
        <v>0</v>
      </c>
    </row>
    <row r="130" s="1" customFormat="1" spans="5:6">
      <c r="E130" s="1">
        <f t="shared" si="2"/>
        <v>0</v>
      </c>
      <c r="F130" s="1">
        <f t="shared" si="3"/>
        <v>0</v>
      </c>
    </row>
    <row r="131" s="1" customFormat="1" spans="5:6">
      <c r="E131" s="1">
        <f t="shared" ref="E131:E194" si="4">IF(B131="买入",C131/D131,IF(B131="卖出",-C131/D131,0))</f>
        <v>0</v>
      </c>
      <c r="F131" s="1">
        <f t="shared" ref="F131:F194" si="5">IF(B131="买入",-C131,IF(B131="卖出",C131,0))</f>
        <v>0</v>
      </c>
    </row>
    <row r="132" s="1" customFormat="1" spans="5:6">
      <c r="E132" s="1">
        <f t="shared" si="4"/>
        <v>0</v>
      </c>
      <c r="F132" s="1">
        <f t="shared" si="5"/>
        <v>0</v>
      </c>
    </row>
    <row r="133" s="1" customFormat="1" spans="5:6">
      <c r="E133" s="1">
        <f t="shared" si="4"/>
        <v>0</v>
      </c>
      <c r="F133" s="1">
        <f t="shared" si="5"/>
        <v>0</v>
      </c>
    </row>
    <row r="134" s="1" customFormat="1" spans="5:6">
      <c r="E134" s="1">
        <f t="shared" si="4"/>
        <v>0</v>
      </c>
      <c r="F134" s="1">
        <f t="shared" si="5"/>
        <v>0</v>
      </c>
    </row>
    <row r="135" s="1" customFormat="1" spans="5:6">
      <c r="E135" s="1">
        <f t="shared" si="4"/>
        <v>0</v>
      </c>
      <c r="F135" s="1">
        <f t="shared" si="5"/>
        <v>0</v>
      </c>
    </row>
    <row r="136" s="1" customFormat="1" spans="5:6">
      <c r="E136" s="1">
        <f t="shared" si="4"/>
        <v>0</v>
      </c>
      <c r="F136" s="1">
        <f t="shared" si="5"/>
        <v>0</v>
      </c>
    </row>
    <row r="137" s="1" customFormat="1" spans="5:6">
      <c r="E137" s="1">
        <f t="shared" si="4"/>
        <v>0</v>
      </c>
      <c r="F137" s="1">
        <f t="shared" si="5"/>
        <v>0</v>
      </c>
    </row>
    <row r="138" s="1" customFormat="1" spans="5:6">
      <c r="E138" s="1">
        <f t="shared" si="4"/>
        <v>0</v>
      </c>
      <c r="F138" s="1">
        <f t="shared" si="5"/>
        <v>0</v>
      </c>
    </row>
    <row r="139" s="1" customFormat="1" spans="5:6">
      <c r="E139" s="1">
        <f t="shared" si="4"/>
        <v>0</v>
      </c>
      <c r="F139" s="1">
        <f t="shared" si="5"/>
        <v>0</v>
      </c>
    </row>
    <row r="140" s="1" customFormat="1" spans="5:6">
      <c r="E140" s="1">
        <f t="shared" si="4"/>
        <v>0</v>
      </c>
      <c r="F140" s="1">
        <f t="shared" si="5"/>
        <v>0</v>
      </c>
    </row>
    <row r="141" s="1" customFormat="1" spans="5:6">
      <c r="E141" s="1">
        <f t="shared" si="4"/>
        <v>0</v>
      </c>
      <c r="F141" s="1">
        <f t="shared" si="5"/>
        <v>0</v>
      </c>
    </row>
    <row r="142" s="1" customFormat="1" spans="5:6">
      <c r="E142" s="1">
        <f t="shared" si="4"/>
        <v>0</v>
      </c>
      <c r="F142" s="1">
        <f t="shared" si="5"/>
        <v>0</v>
      </c>
    </row>
    <row r="143" s="1" customFormat="1" spans="5:6">
      <c r="E143" s="1">
        <f t="shared" si="4"/>
        <v>0</v>
      </c>
      <c r="F143" s="1">
        <f t="shared" si="5"/>
        <v>0</v>
      </c>
    </row>
    <row r="144" s="1" customFormat="1" spans="5:6">
      <c r="E144" s="1">
        <f t="shared" si="4"/>
        <v>0</v>
      </c>
      <c r="F144" s="1">
        <f t="shared" si="5"/>
        <v>0</v>
      </c>
    </row>
    <row r="145" s="1" customFormat="1" spans="5:6">
      <c r="E145" s="1">
        <f t="shared" si="4"/>
        <v>0</v>
      </c>
      <c r="F145" s="1">
        <f t="shared" si="5"/>
        <v>0</v>
      </c>
    </row>
    <row r="146" s="1" customFormat="1" spans="5:6">
      <c r="E146" s="1">
        <f t="shared" si="4"/>
        <v>0</v>
      </c>
      <c r="F146" s="1">
        <f t="shared" si="5"/>
        <v>0</v>
      </c>
    </row>
    <row r="147" s="1" customFormat="1" spans="5:6">
      <c r="E147" s="1">
        <f t="shared" si="4"/>
        <v>0</v>
      </c>
      <c r="F147" s="1">
        <f t="shared" si="5"/>
        <v>0</v>
      </c>
    </row>
    <row r="148" s="1" customFormat="1" spans="5:6">
      <c r="E148" s="1">
        <f t="shared" si="4"/>
        <v>0</v>
      </c>
      <c r="F148" s="1">
        <f t="shared" si="5"/>
        <v>0</v>
      </c>
    </row>
    <row r="149" s="1" customFormat="1" spans="5:6">
      <c r="E149" s="1">
        <f t="shared" si="4"/>
        <v>0</v>
      </c>
      <c r="F149" s="1">
        <f t="shared" si="5"/>
        <v>0</v>
      </c>
    </row>
    <row r="150" s="1" customFormat="1" spans="5:6">
      <c r="E150" s="1">
        <f t="shared" si="4"/>
        <v>0</v>
      </c>
      <c r="F150" s="1">
        <f t="shared" si="5"/>
        <v>0</v>
      </c>
    </row>
    <row r="151" s="1" customFormat="1" spans="5:6">
      <c r="E151" s="1">
        <f t="shared" si="4"/>
        <v>0</v>
      </c>
      <c r="F151" s="1">
        <f t="shared" si="5"/>
        <v>0</v>
      </c>
    </row>
    <row r="152" s="1" customFormat="1" spans="5:6">
      <c r="E152" s="1">
        <f t="shared" si="4"/>
        <v>0</v>
      </c>
      <c r="F152" s="1">
        <f t="shared" si="5"/>
        <v>0</v>
      </c>
    </row>
    <row r="153" s="1" customFormat="1" spans="5:6">
      <c r="E153" s="1">
        <f t="shared" si="4"/>
        <v>0</v>
      </c>
      <c r="F153" s="1">
        <f t="shared" si="5"/>
        <v>0</v>
      </c>
    </row>
    <row r="154" s="1" customFormat="1" spans="5:6">
      <c r="E154" s="1">
        <f t="shared" si="4"/>
        <v>0</v>
      </c>
      <c r="F154" s="1">
        <f t="shared" si="5"/>
        <v>0</v>
      </c>
    </row>
    <row r="155" s="1" customFormat="1" spans="5:6">
      <c r="E155" s="1">
        <f t="shared" si="4"/>
        <v>0</v>
      </c>
      <c r="F155" s="1">
        <f t="shared" si="5"/>
        <v>0</v>
      </c>
    </row>
    <row r="156" s="1" customFormat="1" spans="5:6">
      <c r="E156" s="1">
        <f t="shared" si="4"/>
        <v>0</v>
      </c>
      <c r="F156" s="1">
        <f t="shared" si="5"/>
        <v>0</v>
      </c>
    </row>
    <row r="157" s="1" customFormat="1" spans="5:6">
      <c r="E157" s="1">
        <f t="shared" si="4"/>
        <v>0</v>
      </c>
      <c r="F157" s="1">
        <f t="shared" si="5"/>
        <v>0</v>
      </c>
    </row>
    <row r="158" s="1" customFormat="1" spans="5:6">
      <c r="E158" s="1">
        <f t="shared" si="4"/>
        <v>0</v>
      </c>
      <c r="F158" s="1">
        <f t="shared" si="5"/>
        <v>0</v>
      </c>
    </row>
    <row r="159" s="1" customFormat="1" spans="5:6">
      <c r="E159" s="1">
        <f t="shared" si="4"/>
        <v>0</v>
      </c>
      <c r="F159" s="1">
        <f t="shared" si="5"/>
        <v>0</v>
      </c>
    </row>
    <row r="160" s="1" customFormat="1" spans="5:6">
      <c r="E160" s="1">
        <f t="shared" si="4"/>
        <v>0</v>
      </c>
      <c r="F160" s="1">
        <f t="shared" si="5"/>
        <v>0</v>
      </c>
    </row>
    <row r="161" s="1" customFormat="1" spans="5:6">
      <c r="E161" s="1">
        <f t="shared" si="4"/>
        <v>0</v>
      </c>
      <c r="F161" s="1">
        <f t="shared" si="5"/>
        <v>0</v>
      </c>
    </row>
    <row r="162" s="1" customFormat="1" spans="5:6">
      <c r="E162" s="1">
        <f t="shared" si="4"/>
        <v>0</v>
      </c>
      <c r="F162" s="1">
        <f t="shared" si="5"/>
        <v>0</v>
      </c>
    </row>
    <row r="163" s="1" customFormat="1" spans="5:6">
      <c r="E163" s="1">
        <f t="shared" si="4"/>
        <v>0</v>
      </c>
      <c r="F163" s="1">
        <f t="shared" si="5"/>
        <v>0</v>
      </c>
    </row>
    <row r="164" s="1" customFormat="1" spans="5:6">
      <c r="E164" s="1">
        <f t="shared" si="4"/>
        <v>0</v>
      </c>
      <c r="F164" s="1">
        <f t="shared" si="5"/>
        <v>0</v>
      </c>
    </row>
    <row r="165" s="1" customFormat="1" spans="5:6">
      <c r="E165" s="1">
        <f t="shared" si="4"/>
        <v>0</v>
      </c>
      <c r="F165" s="1">
        <f t="shared" si="5"/>
        <v>0</v>
      </c>
    </row>
    <row r="166" s="1" customFormat="1" spans="5:6">
      <c r="E166" s="1">
        <f t="shared" si="4"/>
        <v>0</v>
      </c>
      <c r="F166" s="1">
        <f t="shared" si="5"/>
        <v>0</v>
      </c>
    </row>
    <row r="167" s="1" customFormat="1" spans="5:6">
      <c r="E167" s="1">
        <f t="shared" si="4"/>
        <v>0</v>
      </c>
      <c r="F167" s="1">
        <f t="shared" si="5"/>
        <v>0</v>
      </c>
    </row>
    <row r="168" s="1" customFormat="1" spans="5:6">
      <c r="E168" s="1">
        <f t="shared" si="4"/>
        <v>0</v>
      </c>
      <c r="F168" s="1">
        <f t="shared" si="5"/>
        <v>0</v>
      </c>
    </row>
    <row r="169" s="1" customFormat="1" spans="5:6">
      <c r="E169" s="1">
        <f t="shared" si="4"/>
        <v>0</v>
      </c>
      <c r="F169" s="1">
        <f t="shared" si="5"/>
        <v>0</v>
      </c>
    </row>
    <row r="170" s="1" customFormat="1" spans="5:6">
      <c r="E170" s="1">
        <f t="shared" si="4"/>
        <v>0</v>
      </c>
      <c r="F170" s="1">
        <f t="shared" si="5"/>
        <v>0</v>
      </c>
    </row>
    <row r="171" s="1" customFormat="1" spans="5:6">
      <c r="E171" s="1">
        <f t="shared" si="4"/>
        <v>0</v>
      </c>
      <c r="F171" s="1">
        <f t="shared" si="5"/>
        <v>0</v>
      </c>
    </row>
    <row r="172" s="1" customFormat="1" spans="5:6">
      <c r="E172" s="1">
        <f t="shared" si="4"/>
        <v>0</v>
      </c>
      <c r="F172" s="1">
        <f t="shared" si="5"/>
        <v>0</v>
      </c>
    </row>
    <row r="173" s="1" customFormat="1" spans="5:6">
      <c r="E173" s="1">
        <f t="shared" si="4"/>
        <v>0</v>
      </c>
      <c r="F173" s="1">
        <f t="shared" si="5"/>
        <v>0</v>
      </c>
    </row>
    <row r="174" s="1" customFormat="1" spans="5:6">
      <c r="E174" s="1">
        <f t="shared" si="4"/>
        <v>0</v>
      </c>
      <c r="F174" s="1">
        <f t="shared" si="5"/>
        <v>0</v>
      </c>
    </row>
    <row r="175" s="1" customFormat="1" spans="5:6">
      <c r="E175" s="1">
        <f t="shared" si="4"/>
        <v>0</v>
      </c>
      <c r="F175" s="1">
        <f t="shared" si="5"/>
        <v>0</v>
      </c>
    </row>
    <row r="176" s="1" customFormat="1" spans="5:6">
      <c r="E176" s="1">
        <f t="shared" si="4"/>
        <v>0</v>
      </c>
      <c r="F176" s="1">
        <f t="shared" si="5"/>
        <v>0</v>
      </c>
    </row>
    <row r="177" s="1" customFormat="1" spans="5:6">
      <c r="E177" s="1">
        <f t="shared" si="4"/>
        <v>0</v>
      </c>
      <c r="F177" s="1">
        <f t="shared" si="5"/>
        <v>0</v>
      </c>
    </row>
    <row r="178" s="1" customFormat="1" spans="5:6">
      <c r="E178" s="1">
        <f t="shared" si="4"/>
        <v>0</v>
      </c>
      <c r="F178" s="1">
        <f t="shared" si="5"/>
        <v>0</v>
      </c>
    </row>
    <row r="179" s="1" customFormat="1" spans="5:6">
      <c r="E179" s="1">
        <f t="shared" si="4"/>
        <v>0</v>
      </c>
      <c r="F179" s="1">
        <f t="shared" si="5"/>
        <v>0</v>
      </c>
    </row>
    <row r="180" s="1" customFormat="1" spans="5:6">
      <c r="E180" s="1">
        <f t="shared" si="4"/>
        <v>0</v>
      </c>
      <c r="F180" s="1">
        <f t="shared" si="5"/>
        <v>0</v>
      </c>
    </row>
    <row r="181" s="1" customFormat="1" spans="5:6">
      <c r="E181" s="1">
        <f t="shared" si="4"/>
        <v>0</v>
      </c>
      <c r="F181" s="1">
        <f t="shared" si="5"/>
        <v>0</v>
      </c>
    </row>
    <row r="182" s="1" customFormat="1" spans="5:6">
      <c r="E182" s="1">
        <f t="shared" si="4"/>
        <v>0</v>
      </c>
      <c r="F182" s="1">
        <f t="shared" si="5"/>
        <v>0</v>
      </c>
    </row>
    <row r="183" s="1" customFormat="1" spans="5:6">
      <c r="E183" s="1">
        <f t="shared" si="4"/>
        <v>0</v>
      </c>
      <c r="F183" s="1">
        <f t="shared" si="5"/>
        <v>0</v>
      </c>
    </row>
    <row r="184" s="1" customFormat="1" spans="5:6">
      <c r="E184" s="1">
        <f t="shared" si="4"/>
        <v>0</v>
      </c>
      <c r="F184" s="1">
        <f t="shared" si="5"/>
        <v>0</v>
      </c>
    </row>
    <row r="185" s="1" customFormat="1" spans="5:6">
      <c r="E185" s="1">
        <f t="shared" si="4"/>
        <v>0</v>
      </c>
      <c r="F185" s="1">
        <f t="shared" si="5"/>
        <v>0</v>
      </c>
    </row>
    <row r="186" s="1" customFormat="1" spans="5:6">
      <c r="E186" s="1">
        <f t="shared" si="4"/>
        <v>0</v>
      </c>
      <c r="F186" s="1">
        <f t="shared" si="5"/>
        <v>0</v>
      </c>
    </row>
    <row r="187" s="1" customFormat="1" spans="5:6">
      <c r="E187" s="1">
        <f t="shared" si="4"/>
        <v>0</v>
      </c>
      <c r="F187" s="1">
        <f t="shared" si="5"/>
        <v>0</v>
      </c>
    </row>
    <row r="188" s="1" customFormat="1" spans="5:6">
      <c r="E188" s="1">
        <f t="shared" si="4"/>
        <v>0</v>
      </c>
      <c r="F188" s="1">
        <f t="shared" si="5"/>
        <v>0</v>
      </c>
    </row>
    <row r="189" s="1" customFormat="1" spans="5:6">
      <c r="E189" s="1">
        <f t="shared" si="4"/>
        <v>0</v>
      </c>
      <c r="F189" s="1">
        <f t="shared" si="5"/>
        <v>0</v>
      </c>
    </row>
    <row r="190" s="1" customFormat="1" spans="5:6">
      <c r="E190" s="1">
        <f t="shared" si="4"/>
        <v>0</v>
      </c>
      <c r="F190" s="1">
        <f t="shared" si="5"/>
        <v>0</v>
      </c>
    </row>
    <row r="191" s="1" customFormat="1" spans="5:6">
      <c r="E191" s="1">
        <f t="shared" si="4"/>
        <v>0</v>
      </c>
      <c r="F191" s="1">
        <f t="shared" si="5"/>
        <v>0</v>
      </c>
    </row>
    <row r="192" s="1" customFormat="1" spans="5:6">
      <c r="E192" s="1">
        <f t="shared" si="4"/>
        <v>0</v>
      </c>
      <c r="F192" s="1">
        <f t="shared" si="5"/>
        <v>0</v>
      </c>
    </row>
    <row r="193" s="1" customFormat="1" spans="5:6">
      <c r="E193" s="1">
        <f t="shared" si="4"/>
        <v>0</v>
      </c>
      <c r="F193" s="1">
        <f t="shared" si="5"/>
        <v>0</v>
      </c>
    </row>
    <row r="194" s="1" customFormat="1" spans="5:6">
      <c r="E194" s="1">
        <f t="shared" si="4"/>
        <v>0</v>
      </c>
      <c r="F194" s="1">
        <f t="shared" si="5"/>
        <v>0</v>
      </c>
    </row>
    <row r="195" s="1" customFormat="1" spans="5:6">
      <c r="E195" s="1">
        <f t="shared" ref="E195:E258" si="6">IF(B195="买入",C195/D195,IF(B195="卖出",-C195/D195,0))</f>
        <v>0</v>
      </c>
      <c r="F195" s="1">
        <f t="shared" ref="F195:F258" si="7">IF(B195="买入",-C195,IF(B195="卖出",C195,0))</f>
        <v>0</v>
      </c>
    </row>
    <row r="196" s="1" customFormat="1" spans="5:6">
      <c r="E196" s="1">
        <f t="shared" si="6"/>
        <v>0</v>
      </c>
      <c r="F196" s="1">
        <f t="shared" si="7"/>
        <v>0</v>
      </c>
    </row>
    <row r="197" s="1" customFormat="1" spans="5:6">
      <c r="E197" s="1">
        <f t="shared" si="6"/>
        <v>0</v>
      </c>
      <c r="F197" s="1">
        <f t="shared" si="7"/>
        <v>0</v>
      </c>
    </row>
    <row r="198" s="1" customFormat="1" spans="5:6">
      <c r="E198" s="1">
        <f t="shared" si="6"/>
        <v>0</v>
      </c>
      <c r="F198" s="1">
        <f t="shared" si="7"/>
        <v>0</v>
      </c>
    </row>
    <row r="199" s="1" customFormat="1" spans="5:6">
      <c r="E199" s="1">
        <f t="shared" si="6"/>
        <v>0</v>
      </c>
      <c r="F199" s="1">
        <f t="shared" si="7"/>
        <v>0</v>
      </c>
    </row>
    <row r="200" s="1" customFormat="1" spans="5:6">
      <c r="E200" s="1">
        <f t="shared" si="6"/>
        <v>0</v>
      </c>
      <c r="F200" s="1">
        <f t="shared" si="7"/>
        <v>0</v>
      </c>
    </row>
    <row r="201" s="1" customFormat="1" spans="5:6">
      <c r="E201" s="1">
        <f t="shared" si="6"/>
        <v>0</v>
      </c>
      <c r="F201" s="1">
        <f t="shared" si="7"/>
        <v>0</v>
      </c>
    </row>
    <row r="202" s="1" customFormat="1" spans="5:6">
      <c r="E202" s="1">
        <f t="shared" si="6"/>
        <v>0</v>
      </c>
      <c r="F202" s="1">
        <f t="shared" si="7"/>
        <v>0</v>
      </c>
    </row>
    <row r="203" s="1" customFormat="1" spans="5:6">
      <c r="E203" s="1">
        <f t="shared" si="6"/>
        <v>0</v>
      </c>
      <c r="F203" s="1">
        <f t="shared" si="7"/>
        <v>0</v>
      </c>
    </row>
    <row r="204" s="1" customFormat="1" spans="5:6">
      <c r="E204" s="1">
        <f t="shared" si="6"/>
        <v>0</v>
      </c>
      <c r="F204" s="1">
        <f t="shared" si="7"/>
        <v>0</v>
      </c>
    </row>
    <row r="205" s="1" customFormat="1" spans="5:6">
      <c r="E205" s="1">
        <f t="shared" si="6"/>
        <v>0</v>
      </c>
      <c r="F205" s="1">
        <f t="shared" si="7"/>
        <v>0</v>
      </c>
    </row>
    <row r="206" s="1" customFormat="1" spans="5:6">
      <c r="E206" s="1">
        <f t="shared" si="6"/>
        <v>0</v>
      </c>
      <c r="F206" s="1">
        <f t="shared" si="7"/>
        <v>0</v>
      </c>
    </row>
    <row r="207" s="1" customFormat="1" spans="5:6">
      <c r="E207" s="1">
        <f t="shared" si="6"/>
        <v>0</v>
      </c>
      <c r="F207" s="1">
        <f t="shared" si="7"/>
        <v>0</v>
      </c>
    </row>
    <row r="208" s="1" customFormat="1" spans="5:6">
      <c r="E208" s="1">
        <f t="shared" si="6"/>
        <v>0</v>
      </c>
      <c r="F208" s="1">
        <f t="shared" si="7"/>
        <v>0</v>
      </c>
    </row>
    <row r="209" s="1" customFormat="1" spans="5:6">
      <c r="E209" s="1">
        <f t="shared" si="6"/>
        <v>0</v>
      </c>
      <c r="F209" s="1">
        <f t="shared" si="7"/>
        <v>0</v>
      </c>
    </row>
    <row r="210" s="1" customFormat="1" spans="5:6">
      <c r="E210" s="1">
        <f t="shared" si="6"/>
        <v>0</v>
      </c>
      <c r="F210" s="1">
        <f t="shared" si="7"/>
        <v>0</v>
      </c>
    </row>
    <row r="211" s="1" customFormat="1" spans="5:6">
      <c r="E211" s="1">
        <f t="shared" si="6"/>
        <v>0</v>
      </c>
      <c r="F211" s="1">
        <f t="shared" si="7"/>
        <v>0</v>
      </c>
    </row>
    <row r="212" s="1" customFormat="1" spans="5:6">
      <c r="E212" s="1">
        <f t="shared" si="6"/>
        <v>0</v>
      </c>
      <c r="F212" s="1">
        <f t="shared" si="7"/>
        <v>0</v>
      </c>
    </row>
    <row r="213" s="1" customFormat="1" spans="5:6">
      <c r="E213" s="1">
        <f t="shared" si="6"/>
        <v>0</v>
      </c>
      <c r="F213" s="1">
        <f t="shared" si="7"/>
        <v>0</v>
      </c>
    </row>
    <row r="214" s="1" customFormat="1" spans="5:6">
      <c r="E214" s="1">
        <f t="shared" si="6"/>
        <v>0</v>
      </c>
      <c r="F214" s="1">
        <f t="shared" si="7"/>
        <v>0</v>
      </c>
    </row>
    <row r="215" s="1" customFormat="1" spans="5:6">
      <c r="E215" s="1">
        <f t="shared" si="6"/>
        <v>0</v>
      </c>
      <c r="F215" s="1">
        <f t="shared" si="7"/>
        <v>0</v>
      </c>
    </row>
    <row r="216" s="1" customFormat="1" spans="5:6">
      <c r="E216" s="1">
        <f t="shared" si="6"/>
        <v>0</v>
      </c>
      <c r="F216" s="1">
        <f t="shared" si="7"/>
        <v>0</v>
      </c>
    </row>
    <row r="217" s="1" customFormat="1" spans="5:6">
      <c r="E217" s="1">
        <f t="shared" si="6"/>
        <v>0</v>
      </c>
      <c r="F217" s="1">
        <f t="shared" si="7"/>
        <v>0</v>
      </c>
    </row>
    <row r="218" s="1" customFormat="1" spans="5:6">
      <c r="E218" s="1">
        <f t="shared" si="6"/>
        <v>0</v>
      </c>
      <c r="F218" s="1">
        <f t="shared" si="7"/>
        <v>0</v>
      </c>
    </row>
    <row r="219" s="1" customFormat="1" spans="5:6">
      <c r="E219" s="1">
        <f t="shared" si="6"/>
        <v>0</v>
      </c>
      <c r="F219" s="1">
        <f t="shared" si="7"/>
        <v>0</v>
      </c>
    </row>
    <row r="220" s="1" customFormat="1" spans="5:6">
      <c r="E220" s="1">
        <f t="shared" si="6"/>
        <v>0</v>
      </c>
      <c r="F220" s="1">
        <f t="shared" si="7"/>
        <v>0</v>
      </c>
    </row>
    <row r="221" s="1" customFormat="1" spans="5:6">
      <c r="E221" s="1">
        <f t="shared" si="6"/>
        <v>0</v>
      </c>
      <c r="F221" s="1">
        <f t="shared" si="7"/>
        <v>0</v>
      </c>
    </row>
    <row r="222" s="1" customFormat="1" spans="5:6">
      <c r="E222" s="1">
        <f t="shared" si="6"/>
        <v>0</v>
      </c>
      <c r="F222" s="1">
        <f t="shared" si="7"/>
        <v>0</v>
      </c>
    </row>
    <row r="223" s="1" customFormat="1" spans="5:6">
      <c r="E223" s="1">
        <f t="shared" si="6"/>
        <v>0</v>
      </c>
      <c r="F223" s="1">
        <f t="shared" si="7"/>
        <v>0</v>
      </c>
    </row>
    <row r="224" s="1" customFormat="1" spans="5:6">
      <c r="E224" s="1">
        <f t="shared" si="6"/>
        <v>0</v>
      </c>
      <c r="F224" s="1">
        <f t="shared" si="7"/>
        <v>0</v>
      </c>
    </row>
    <row r="225" s="1" customFormat="1" spans="5:6">
      <c r="E225" s="1">
        <f t="shared" si="6"/>
        <v>0</v>
      </c>
      <c r="F225" s="1">
        <f t="shared" si="7"/>
        <v>0</v>
      </c>
    </row>
    <row r="226" s="1" customFormat="1" spans="5:6">
      <c r="E226" s="1">
        <f t="shared" si="6"/>
        <v>0</v>
      </c>
      <c r="F226" s="1">
        <f t="shared" si="7"/>
        <v>0</v>
      </c>
    </row>
    <row r="227" s="1" customFormat="1" spans="5:6">
      <c r="E227" s="1">
        <f t="shared" si="6"/>
        <v>0</v>
      </c>
      <c r="F227" s="1">
        <f t="shared" si="7"/>
        <v>0</v>
      </c>
    </row>
    <row r="228" s="1" customFormat="1" spans="5:6">
      <c r="E228" s="1">
        <f t="shared" si="6"/>
        <v>0</v>
      </c>
      <c r="F228" s="1">
        <f t="shared" si="7"/>
        <v>0</v>
      </c>
    </row>
    <row r="229" s="1" customFormat="1" spans="5:6">
      <c r="E229" s="1">
        <f t="shared" si="6"/>
        <v>0</v>
      </c>
      <c r="F229" s="1">
        <f t="shared" si="7"/>
        <v>0</v>
      </c>
    </row>
    <row r="230" s="1" customFormat="1" spans="5:6">
      <c r="E230" s="1">
        <f t="shared" si="6"/>
        <v>0</v>
      </c>
      <c r="F230" s="1">
        <f t="shared" si="7"/>
        <v>0</v>
      </c>
    </row>
    <row r="231" s="1" customFormat="1" spans="5:6">
      <c r="E231" s="1">
        <f t="shared" si="6"/>
        <v>0</v>
      </c>
      <c r="F231" s="1">
        <f t="shared" si="7"/>
        <v>0</v>
      </c>
    </row>
    <row r="232" s="1" customFormat="1" spans="5:6">
      <c r="E232" s="1">
        <f t="shared" si="6"/>
        <v>0</v>
      </c>
      <c r="F232" s="1">
        <f t="shared" si="7"/>
        <v>0</v>
      </c>
    </row>
    <row r="233" s="1" customFormat="1" spans="5:6">
      <c r="E233" s="1">
        <f t="shared" si="6"/>
        <v>0</v>
      </c>
      <c r="F233" s="1">
        <f t="shared" si="7"/>
        <v>0</v>
      </c>
    </row>
    <row r="234" s="1" customFormat="1" spans="5:6">
      <c r="E234" s="1">
        <f t="shared" si="6"/>
        <v>0</v>
      </c>
      <c r="F234" s="1">
        <f t="shared" si="7"/>
        <v>0</v>
      </c>
    </row>
    <row r="235" s="1" customFormat="1" spans="5:6">
      <c r="E235" s="1">
        <f t="shared" si="6"/>
        <v>0</v>
      </c>
      <c r="F235" s="1">
        <f t="shared" si="7"/>
        <v>0</v>
      </c>
    </row>
    <row r="236" s="1" customFormat="1" spans="5:6">
      <c r="E236" s="1">
        <f t="shared" si="6"/>
        <v>0</v>
      </c>
      <c r="F236" s="1">
        <f t="shared" si="7"/>
        <v>0</v>
      </c>
    </row>
    <row r="237" s="1" customFormat="1" spans="5:6">
      <c r="E237" s="1">
        <f t="shared" si="6"/>
        <v>0</v>
      </c>
      <c r="F237" s="1">
        <f t="shared" si="7"/>
        <v>0</v>
      </c>
    </row>
    <row r="238" s="1" customFormat="1" spans="5:6">
      <c r="E238" s="1">
        <f t="shared" si="6"/>
        <v>0</v>
      </c>
      <c r="F238" s="1">
        <f t="shared" si="7"/>
        <v>0</v>
      </c>
    </row>
    <row r="239" s="1" customFormat="1" spans="5:6">
      <c r="E239" s="1">
        <f t="shared" si="6"/>
        <v>0</v>
      </c>
      <c r="F239" s="1">
        <f t="shared" si="7"/>
        <v>0</v>
      </c>
    </row>
    <row r="240" s="1" customFormat="1" spans="5:6">
      <c r="E240" s="1">
        <f t="shared" si="6"/>
        <v>0</v>
      </c>
      <c r="F240" s="1">
        <f t="shared" si="7"/>
        <v>0</v>
      </c>
    </row>
    <row r="241" s="1" customFormat="1" spans="5:6">
      <c r="E241" s="1">
        <f t="shared" si="6"/>
        <v>0</v>
      </c>
      <c r="F241" s="1">
        <f t="shared" si="7"/>
        <v>0</v>
      </c>
    </row>
    <row r="242" s="1" customFormat="1" spans="5:6">
      <c r="E242" s="1">
        <f t="shared" si="6"/>
        <v>0</v>
      </c>
      <c r="F242" s="1">
        <f t="shared" si="7"/>
        <v>0</v>
      </c>
    </row>
    <row r="243" s="1" customFormat="1" spans="5:6">
      <c r="E243" s="1">
        <f t="shared" si="6"/>
        <v>0</v>
      </c>
      <c r="F243" s="1">
        <f t="shared" si="7"/>
        <v>0</v>
      </c>
    </row>
    <row r="244" s="1" customFormat="1" spans="5:6">
      <c r="E244" s="1">
        <f t="shared" si="6"/>
        <v>0</v>
      </c>
      <c r="F244" s="1">
        <f t="shared" si="7"/>
        <v>0</v>
      </c>
    </row>
    <row r="245" s="1" customFormat="1" spans="5:6">
      <c r="E245" s="1">
        <f t="shared" si="6"/>
        <v>0</v>
      </c>
      <c r="F245" s="1">
        <f t="shared" si="7"/>
        <v>0</v>
      </c>
    </row>
    <row r="246" s="1" customFormat="1" spans="5:6">
      <c r="E246" s="1">
        <f t="shared" si="6"/>
        <v>0</v>
      </c>
      <c r="F246" s="1">
        <f t="shared" si="7"/>
        <v>0</v>
      </c>
    </row>
    <row r="247" s="1" customFormat="1" spans="5:6">
      <c r="E247" s="1">
        <f t="shared" si="6"/>
        <v>0</v>
      </c>
      <c r="F247" s="1">
        <f t="shared" si="7"/>
        <v>0</v>
      </c>
    </row>
    <row r="248" s="1" customFormat="1" spans="5:6">
      <c r="E248" s="1">
        <f t="shared" si="6"/>
        <v>0</v>
      </c>
      <c r="F248" s="1">
        <f t="shared" si="7"/>
        <v>0</v>
      </c>
    </row>
    <row r="249" s="1" customFormat="1" spans="5:6">
      <c r="E249" s="1">
        <f t="shared" si="6"/>
        <v>0</v>
      </c>
      <c r="F249" s="1">
        <f t="shared" si="7"/>
        <v>0</v>
      </c>
    </row>
    <row r="250" s="1" customFormat="1" spans="5:6">
      <c r="E250" s="1">
        <f t="shared" si="6"/>
        <v>0</v>
      </c>
      <c r="F250" s="1">
        <f t="shared" si="7"/>
        <v>0</v>
      </c>
    </row>
    <row r="251" s="1" customFormat="1" spans="5:6">
      <c r="E251" s="1">
        <f t="shared" si="6"/>
        <v>0</v>
      </c>
      <c r="F251" s="1">
        <f t="shared" si="7"/>
        <v>0</v>
      </c>
    </row>
    <row r="252" s="1" customFormat="1" spans="5:6">
      <c r="E252" s="1">
        <f t="shared" si="6"/>
        <v>0</v>
      </c>
      <c r="F252" s="1">
        <f t="shared" si="7"/>
        <v>0</v>
      </c>
    </row>
    <row r="253" s="1" customFormat="1" spans="5:6">
      <c r="E253" s="1">
        <f t="shared" si="6"/>
        <v>0</v>
      </c>
      <c r="F253" s="1">
        <f t="shared" si="7"/>
        <v>0</v>
      </c>
    </row>
    <row r="254" s="1" customFormat="1" spans="5:6">
      <c r="E254" s="1">
        <f t="shared" si="6"/>
        <v>0</v>
      </c>
      <c r="F254" s="1">
        <f t="shared" si="7"/>
        <v>0</v>
      </c>
    </row>
    <row r="255" s="1" customFormat="1" spans="5:6">
      <c r="E255" s="1">
        <f t="shared" si="6"/>
        <v>0</v>
      </c>
      <c r="F255" s="1">
        <f t="shared" si="7"/>
        <v>0</v>
      </c>
    </row>
    <row r="256" s="1" customFormat="1" spans="5:6">
      <c r="E256" s="1">
        <f t="shared" si="6"/>
        <v>0</v>
      </c>
      <c r="F256" s="1">
        <f t="shared" si="7"/>
        <v>0</v>
      </c>
    </row>
    <row r="257" s="1" customFormat="1" spans="5:6">
      <c r="E257" s="1">
        <f t="shared" si="6"/>
        <v>0</v>
      </c>
      <c r="F257" s="1">
        <f t="shared" si="7"/>
        <v>0</v>
      </c>
    </row>
    <row r="258" s="1" customFormat="1" spans="5:6">
      <c r="E258" s="1">
        <f t="shared" si="6"/>
        <v>0</v>
      </c>
      <c r="F258" s="1">
        <f t="shared" si="7"/>
        <v>0</v>
      </c>
    </row>
    <row r="259" s="1" customFormat="1" spans="5:6">
      <c r="E259" s="1">
        <f t="shared" ref="E259:E322" si="8">IF(B259="买入",C259/D259,IF(B259="卖出",-C259/D259,0))</f>
        <v>0</v>
      </c>
      <c r="F259" s="1">
        <f t="shared" ref="F259:F322" si="9">IF(B259="买入",-C259,IF(B259="卖出",C259,0))</f>
        <v>0</v>
      </c>
    </row>
    <row r="260" s="1" customFormat="1" spans="5:6">
      <c r="E260" s="1">
        <f t="shared" si="8"/>
        <v>0</v>
      </c>
      <c r="F260" s="1">
        <f t="shared" si="9"/>
        <v>0</v>
      </c>
    </row>
    <row r="261" s="1" customFormat="1" spans="5:6">
      <c r="E261" s="1">
        <f t="shared" si="8"/>
        <v>0</v>
      </c>
      <c r="F261" s="1">
        <f t="shared" si="9"/>
        <v>0</v>
      </c>
    </row>
    <row r="262" s="1" customFormat="1" spans="5:6">
      <c r="E262" s="1">
        <f t="shared" si="8"/>
        <v>0</v>
      </c>
      <c r="F262" s="1">
        <f t="shared" si="9"/>
        <v>0</v>
      </c>
    </row>
    <row r="263" s="1" customFormat="1" spans="5:6">
      <c r="E263" s="1">
        <f t="shared" si="8"/>
        <v>0</v>
      </c>
      <c r="F263" s="1">
        <f t="shared" si="9"/>
        <v>0</v>
      </c>
    </row>
    <row r="264" s="1" customFormat="1" spans="5:6">
      <c r="E264" s="1">
        <f t="shared" si="8"/>
        <v>0</v>
      </c>
      <c r="F264" s="1">
        <f t="shared" si="9"/>
        <v>0</v>
      </c>
    </row>
    <row r="265" s="1" customFormat="1" spans="5:6">
      <c r="E265" s="1">
        <f t="shared" si="8"/>
        <v>0</v>
      </c>
      <c r="F265" s="1">
        <f t="shared" si="9"/>
        <v>0</v>
      </c>
    </row>
    <row r="266" s="1" customFormat="1" spans="5:6">
      <c r="E266" s="1">
        <f t="shared" si="8"/>
        <v>0</v>
      </c>
      <c r="F266" s="1">
        <f t="shared" si="9"/>
        <v>0</v>
      </c>
    </row>
    <row r="267" s="1" customFormat="1" spans="5:6">
      <c r="E267" s="1">
        <f t="shared" si="8"/>
        <v>0</v>
      </c>
      <c r="F267" s="1">
        <f t="shared" si="9"/>
        <v>0</v>
      </c>
    </row>
    <row r="268" s="1" customFormat="1" spans="5:6">
      <c r="E268" s="1">
        <f t="shared" si="8"/>
        <v>0</v>
      </c>
      <c r="F268" s="1">
        <f t="shared" si="9"/>
        <v>0</v>
      </c>
    </row>
    <row r="269" s="1" customFormat="1" spans="5:6">
      <c r="E269" s="1">
        <f t="shared" si="8"/>
        <v>0</v>
      </c>
      <c r="F269" s="1">
        <f t="shared" si="9"/>
        <v>0</v>
      </c>
    </row>
    <row r="270" s="1" customFormat="1" spans="5:6">
      <c r="E270" s="1">
        <f t="shared" si="8"/>
        <v>0</v>
      </c>
      <c r="F270" s="1">
        <f t="shared" si="9"/>
        <v>0</v>
      </c>
    </row>
    <row r="271" s="1" customFormat="1" spans="5:6">
      <c r="E271" s="1">
        <f t="shared" si="8"/>
        <v>0</v>
      </c>
      <c r="F271" s="1">
        <f t="shared" si="9"/>
        <v>0</v>
      </c>
    </row>
    <row r="272" s="1" customFormat="1" spans="5:6">
      <c r="E272" s="1">
        <f t="shared" si="8"/>
        <v>0</v>
      </c>
      <c r="F272" s="1">
        <f t="shared" si="9"/>
        <v>0</v>
      </c>
    </row>
    <row r="273" s="1" customFormat="1" spans="5:6">
      <c r="E273" s="1">
        <f t="shared" si="8"/>
        <v>0</v>
      </c>
      <c r="F273" s="1">
        <f t="shared" si="9"/>
        <v>0</v>
      </c>
    </row>
    <row r="274" s="1" customFormat="1" spans="5:6">
      <c r="E274" s="1">
        <f t="shared" si="8"/>
        <v>0</v>
      </c>
      <c r="F274" s="1">
        <f t="shared" si="9"/>
        <v>0</v>
      </c>
    </row>
    <row r="275" s="1" customFormat="1" spans="5:6">
      <c r="E275" s="1">
        <f t="shared" si="8"/>
        <v>0</v>
      </c>
      <c r="F275" s="1">
        <f t="shared" si="9"/>
        <v>0</v>
      </c>
    </row>
    <row r="276" s="1" customFormat="1" spans="5:6">
      <c r="E276" s="1">
        <f t="shared" si="8"/>
        <v>0</v>
      </c>
      <c r="F276" s="1">
        <f t="shared" si="9"/>
        <v>0</v>
      </c>
    </row>
    <row r="277" s="1" customFormat="1" spans="5:6">
      <c r="E277" s="1">
        <f t="shared" si="8"/>
        <v>0</v>
      </c>
      <c r="F277" s="1">
        <f t="shared" si="9"/>
        <v>0</v>
      </c>
    </row>
    <row r="278" s="1" customFormat="1" spans="5:6">
      <c r="E278" s="1">
        <f t="shared" si="8"/>
        <v>0</v>
      </c>
      <c r="F278" s="1">
        <f t="shared" si="9"/>
        <v>0</v>
      </c>
    </row>
    <row r="279" s="1" customFormat="1" spans="5:6">
      <c r="E279" s="1">
        <f t="shared" si="8"/>
        <v>0</v>
      </c>
      <c r="F279" s="1">
        <f t="shared" si="9"/>
        <v>0</v>
      </c>
    </row>
    <row r="280" s="1" customFormat="1" spans="5:6">
      <c r="E280" s="1">
        <f t="shared" si="8"/>
        <v>0</v>
      </c>
      <c r="F280" s="1">
        <f t="shared" si="9"/>
        <v>0</v>
      </c>
    </row>
    <row r="281" s="1" customFormat="1" spans="5:6">
      <c r="E281" s="1">
        <f t="shared" si="8"/>
        <v>0</v>
      </c>
      <c r="F281" s="1">
        <f t="shared" si="9"/>
        <v>0</v>
      </c>
    </row>
    <row r="282" s="1" customFormat="1" spans="5:6">
      <c r="E282" s="1">
        <f t="shared" si="8"/>
        <v>0</v>
      </c>
      <c r="F282" s="1">
        <f t="shared" si="9"/>
        <v>0</v>
      </c>
    </row>
    <row r="283" s="1" customFormat="1" spans="5:6">
      <c r="E283" s="1">
        <f t="shared" si="8"/>
        <v>0</v>
      </c>
      <c r="F283" s="1">
        <f t="shared" si="9"/>
        <v>0</v>
      </c>
    </row>
    <row r="284" s="1" customFormat="1" spans="5:6">
      <c r="E284" s="1">
        <f t="shared" si="8"/>
        <v>0</v>
      </c>
      <c r="F284" s="1">
        <f t="shared" si="9"/>
        <v>0</v>
      </c>
    </row>
    <row r="285" s="1" customFormat="1" spans="5:6">
      <c r="E285" s="1">
        <f t="shared" si="8"/>
        <v>0</v>
      </c>
      <c r="F285" s="1">
        <f t="shared" si="9"/>
        <v>0</v>
      </c>
    </row>
    <row r="286" s="1" customFormat="1" spans="5:6">
      <c r="E286" s="1">
        <f t="shared" si="8"/>
        <v>0</v>
      </c>
      <c r="F286" s="1">
        <f t="shared" si="9"/>
        <v>0</v>
      </c>
    </row>
    <row r="287" s="1" customFormat="1" spans="5:6">
      <c r="E287" s="1">
        <f t="shared" si="8"/>
        <v>0</v>
      </c>
      <c r="F287" s="1">
        <f t="shared" si="9"/>
        <v>0</v>
      </c>
    </row>
    <row r="288" s="1" customFormat="1" spans="5:6">
      <c r="E288" s="1">
        <f t="shared" si="8"/>
        <v>0</v>
      </c>
      <c r="F288" s="1">
        <f t="shared" si="9"/>
        <v>0</v>
      </c>
    </row>
    <row r="289" s="1" customFormat="1" spans="5:6">
      <c r="E289" s="1">
        <f t="shared" si="8"/>
        <v>0</v>
      </c>
      <c r="F289" s="1">
        <f t="shared" si="9"/>
        <v>0</v>
      </c>
    </row>
    <row r="290" s="1" customFormat="1" spans="5:6">
      <c r="E290" s="1">
        <f t="shared" si="8"/>
        <v>0</v>
      </c>
      <c r="F290" s="1">
        <f t="shared" si="9"/>
        <v>0</v>
      </c>
    </row>
    <row r="291" s="1" customFormat="1" spans="5:6">
      <c r="E291" s="1">
        <f t="shared" si="8"/>
        <v>0</v>
      </c>
      <c r="F291" s="1">
        <f t="shared" si="9"/>
        <v>0</v>
      </c>
    </row>
    <row r="292" s="1" customFormat="1" spans="5:6">
      <c r="E292" s="1">
        <f t="shared" si="8"/>
        <v>0</v>
      </c>
      <c r="F292" s="1">
        <f t="shared" si="9"/>
        <v>0</v>
      </c>
    </row>
    <row r="293" s="1" customFormat="1" spans="5:6">
      <c r="E293" s="1">
        <f t="shared" si="8"/>
        <v>0</v>
      </c>
      <c r="F293" s="1">
        <f t="shared" si="9"/>
        <v>0</v>
      </c>
    </row>
    <row r="294" s="1" customFormat="1" spans="5:6">
      <c r="E294" s="1">
        <f t="shared" si="8"/>
        <v>0</v>
      </c>
      <c r="F294" s="1">
        <f t="shared" si="9"/>
        <v>0</v>
      </c>
    </row>
    <row r="295" s="1" customFormat="1" spans="5:6">
      <c r="E295" s="1">
        <f t="shared" si="8"/>
        <v>0</v>
      </c>
      <c r="F295" s="1">
        <f t="shared" si="9"/>
        <v>0</v>
      </c>
    </row>
    <row r="296" s="1" customFormat="1" spans="5:6">
      <c r="E296" s="1">
        <f t="shared" si="8"/>
        <v>0</v>
      </c>
      <c r="F296" s="1">
        <f t="shared" si="9"/>
        <v>0</v>
      </c>
    </row>
    <row r="297" s="1" customFormat="1" spans="5:6">
      <c r="E297" s="1">
        <f t="shared" si="8"/>
        <v>0</v>
      </c>
      <c r="F297" s="1">
        <f t="shared" si="9"/>
        <v>0</v>
      </c>
    </row>
    <row r="298" s="1" customFormat="1" spans="5:6">
      <c r="E298" s="1">
        <f t="shared" si="8"/>
        <v>0</v>
      </c>
      <c r="F298" s="1">
        <f t="shared" si="9"/>
        <v>0</v>
      </c>
    </row>
    <row r="299" s="1" customFormat="1" spans="5:6">
      <c r="E299" s="1">
        <f t="shared" si="8"/>
        <v>0</v>
      </c>
      <c r="F299" s="1">
        <f t="shared" si="9"/>
        <v>0</v>
      </c>
    </row>
    <row r="300" s="1" customFormat="1" spans="5:6">
      <c r="E300" s="1">
        <f t="shared" si="8"/>
        <v>0</v>
      </c>
      <c r="F300" s="1">
        <f t="shared" si="9"/>
        <v>0</v>
      </c>
    </row>
    <row r="301" s="1" customFormat="1" spans="5:6">
      <c r="E301" s="1">
        <f t="shared" si="8"/>
        <v>0</v>
      </c>
      <c r="F301" s="1">
        <f t="shared" si="9"/>
        <v>0</v>
      </c>
    </row>
    <row r="302" s="1" customFormat="1" spans="5:6">
      <c r="E302" s="1">
        <f t="shared" si="8"/>
        <v>0</v>
      </c>
      <c r="F302" s="1">
        <f t="shared" si="9"/>
        <v>0</v>
      </c>
    </row>
    <row r="303" s="1" customFormat="1" spans="5:6">
      <c r="E303" s="1">
        <f t="shared" si="8"/>
        <v>0</v>
      </c>
      <c r="F303" s="1">
        <f t="shared" si="9"/>
        <v>0</v>
      </c>
    </row>
    <row r="304" s="1" customFormat="1" spans="5:6">
      <c r="E304" s="1">
        <f t="shared" si="8"/>
        <v>0</v>
      </c>
      <c r="F304" s="1">
        <f t="shared" si="9"/>
        <v>0</v>
      </c>
    </row>
    <row r="305" s="1" customFormat="1" spans="5:6">
      <c r="E305" s="1">
        <f t="shared" si="8"/>
        <v>0</v>
      </c>
      <c r="F305" s="1">
        <f t="shared" si="9"/>
        <v>0</v>
      </c>
    </row>
    <row r="306" s="1" customFormat="1" spans="5:6">
      <c r="E306" s="1">
        <f t="shared" si="8"/>
        <v>0</v>
      </c>
      <c r="F306" s="1">
        <f t="shared" si="9"/>
        <v>0</v>
      </c>
    </row>
    <row r="307" s="1" customFormat="1" spans="5:6">
      <c r="E307" s="1">
        <f t="shared" si="8"/>
        <v>0</v>
      </c>
      <c r="F307" s="1">
        <f t="shared" si="9"/>
        <v>0</v>
      </c>
    </row>
    <row r="308" s="1" customFormat="1" spans="5:6">
      <c r="E308" s="1">
        <f t="shared" si="8"/>
        <v>0</v>
      </c>
      <c r="F308" s="1">
        <f t="shared" si="9"/>
        <v>0</v>
      </c>
    </row>
    <row r="309" s="1" customFormat="1" spans="5:6">
      <c r="E309" s="1">
        <f t="shared" si="8"/>
        <v>0</v>
      </c>
      <c r="F309" s="1">
        <f t="shared" si="9"/>
        <v>0</v>
      </c>
    </row>
    <row r="310" s="1" customFormat="1" spans="5:6">
      <c r="E310" s="1">
        <f t="shared" si="8"/>
        <v>0</v>
      </c>
      <c r="F310" s="1">
        <f t="shared" si="9"/>
        <v>0</v>
      </c>
    </row>
    <row r="311" s="1" customFormat="1" spans="5:6">
      <c r="E311" s="1">
        <f t="shared" si="8"/>
        <v>0</v>
      </c>
      <c r="F311" s="1">
        <f t="shared" si="9"/>
        <v>0</v>
      </c>
    </row>
    <row r="312" s="1" customFormat="1" spans="5:6">
      <c r="E312" s="1">
        <f t="shared" si="8"/>
        <v>0</v>
      </c>
      <c r="F312" s="1">
        <f t="shared" si="9"/>
        <v>0</v>
      </c>
    </row>
    <row r="313" s="1" customFormat="1" spans="5:6">
      <c r="E313" s="1">
        <f t="shared" si="8"/>
        <v>0</v>
      </c>
      <c r="F313" s="1">
        <f t="shared" si="9"/>
        <v>0</v>
      </c>
    </row>
    <row r="314" s="1" customFormat="1" spans="5:6">
      <c r="E314" s="1">
        <f t="shared" si="8"/>
        <v>0</v>
      </c>
      <c r="F314" s="1">
        <f t="shared" si="9"/>
        <v>0</v>
      </c>
    </row>
    <row r="315" s="1" customFormat="1" spans="5:6">
      <c r="E315" s="1">
        <f t="shared" si="8"/>
        <v>0</v>
      </c>
      <c r="F315" s="1">
        <f t="shared" si="9"/>
        <v>0</v>
      </c>
    </row>
    <row r="316" s="1" customFormat="1" spans="5:6">
      <c r="E316" s="1">
        <f t="shared" si="8"/>
        <v>0</v>
      </c>
      <c r="F316" s="1">
        <f t="shared" si="9"/>
        <v>0</v>
      </c>
    </row>
    <row r="317" s="1" customFormat="1" spans="5:6">
      <c r="E317" s="1">
        <f t="shared" si="8"/>
        <v>0</v>
      </c>
      <c r="F317" s="1">
        <f t="shared" si="9"/>
        <v>0</v>
      </c>
    </row>
    <row r="318" s="1" customFormat="1" spans="5:6">
      <c r="E318" s="1">
        <f t="shared" si="8"/>
        <v>0</v>
      </c>
      <c r="F318" s="1">
        <f t="shared" si="9"/>
        <v>0</v>
      </c>
    </row>
    <row r="319" s="1" customFormat="1" spans="5:6">
      <c r="E319" s="1">
        <f t="shared" si="8"/>
        <v>0</v>
      </c>
      <c r="F319" s="1">
        <f t="shared" si="9"/>
        <v>0</v>
      </c>
    </row>
    <row r="320" s="1" customFormat="1" spans="5:6">
      <c r="E320" s="1">
        <f t="shared" si="8"/>
        <v>0</v>
      </c>
      <c r="F320" s="1">
        <f t="shared" si="9"/>
        <v>0</v>
      </c>
    </row>
    <row r="321" s="1" customFormat="1" spans="5:6">
      <c r="E321" s="1">
        <f t="shared" si="8"/>
        <v>0</v>
      </c>
      <c r="F321" s="1">
        <f t="shared" si="9"/>
        <v>0</v>
      </c>
    </row>
    <row r="322" s="1" customFormat="1" spans="5:6">
      <c r="E322" s="1">
        <f t="shared" si="8"/>
        <v>0</v>
      </c>
      <c r="F322" s="1">
        <f t="shared" si="9"/>
        <v>0</v>
      </c>
    </row>
    <row r="323" s="1" customFormat="1" spans="5:6">
      <c r="E323" s="1">
        <f t="shared" ref="E323:E386" si="10">IF(B323="买入",C323/D323,IF(B323="卖出",-C323/D323,0))</f>
        <v>0</v>
      </c>
      <c r="F323" s="1">
        <f t="shared" ref="F323:F386" si="11">IF(B323="买入",-C323,IF(B323="卖出",C323,0))</f>
        <v>0</v>
      </c>
    </row>
    <row r="324" s="1" customFormat="1" spans="5:6">
      <c r="E324" s="1">
        <f t="shared" si="10"/>
        <v>0</v>
      </c>
      <c r="F324" s="1">
        <f t="shared" si="11"/>
        <v>0</v>
      </c>
    </row>
    <row r="325" s="1" customFormat="1" spans="5:6">
      <c r="E325" s="1">
        <f t="shared" si="10"/>
        <v>0</v>
      </c>
      <c r="F325" s="1">
        <f t="shared" si="11"/>
        <v>0</v>
      </c>
    </row>
    <row r="326" s="1" customFormat="1" spans="5:6">
      <c r="E326" s="1">
        <f t="shared" si="10"/>
        <v>0</v>
      </c>
      <c r="F326" s="1">
        <f t="shared" si="11"/>
        <v>0</v>
      </c>
    </row>
    <row r="327" s="1" customFormat="1" spans="5:6">
      <c r="E327" s="1">
        <f t="shared" si="10"/>
        <v>0</v>
      </c>
      <c r="F327" s="1">
        <f t="shared" si="11"/>
        <v>0</v>
      </c>
    </row>
    <row r="328" s="1" customFormat="1" spans="5:6">
      <c r="E328" s="1">
        <f t="shared" si="10"/>
        <v>0</v>
      </c>
      <c r="F328" s="1">
        <f t="shared" si="11"/>
        <v>0</v>
      </c>
    </row>
    <row r="329" s="1" customFormat="1" spans="5:6">
      <c r="E329" s="1">
        <f t="shared" si="10"/>
        <v>0</v>
      </c>
      <c r="F329" s="1">
        <f t="shared" si="11"/>
        <v>0</v>
      </c>
    </row>
    <row r="330" s="1" customFormat="1" spans="5:6">
      <c r="E330" s="1">
        <f t="shared" si="10"/>
        <v>0</v>
      </c>
      <c r="F330" s="1">
        <f t="shared" si="11"/>
        <v>0</v>
      </c>
    </row>
    <row r="331" s="1" customFormat="1" spans="5:6">
      <c r="E331" s="1">
        <f t="shared" si="10"/>
        <v>0</v>
      </c>
      <c r="F331" s="1">
        <f t="shared" si="11"/>
        <v>0</v>
      </c>
    </row>
    <row r="332" s="1" customFormat="1" spans="5:6">
      <c r="E332" s="1">
        <f t="shared" si="10"/>
        <v>0</v>
      </c>
      <c r="F332" s="1">
        <f t="shared" si="11"/>
        <v>0</v>
      </c>
    </row>
    <row r="333" s="1" customFormat="1" spans="5:6">
      <c r="E333" s="1">
        <f t="shared" si="10"/>
        <v>0</v>
      </c>
      <c r="F333" s="1">
        <f t="shared" si="11"/>
        <v>0</v>
      </c>
    </row>
    <row r="334" s="1" customFormat="1" spans="5:6">
      <c r="E334" s="1">
        <f t="shared" si="10"/>
        <v>0</v>
      </c>
      <c r="F334" s="1">
        <f t="shared" si="11"/>
        <v>0</v>
      </c>
    </row>
    <row r="335" s="1" customFormat="1" spans="5:6">
      <c r="E335" s="1">
        <f t="shared" si="10"/>
        <v>0</v>
      </c>
      <c r="F335" s="1">
        <f t="shared" si="11"/>
        <v>0</v>
      </c>
    </row>
    <row r="336" s="1" customFormat="1" spans="5:6">
      <c r="E336" s="1">
        <f t="shared" si="10"/>
        <v>0</v>
      </c>
      <c r="F336" s="1">
        <f t="shared" si="11"/>
        <v>0</v>
      </c>
    </row>
    <row r="337" s="1" customFormat="1" spans="5:6">
      <c r="E337" s="1">
        <f t="shared" si="10"/>
        <v>0</v>
      </c>
      <c r="F337" s="1">
        <f t="shared" si="11"/>
        <v>0</v>
      </c>
    </row>
    <row r="338" s="1" customFormat="1" spans="5:6">
      <c r="E338" s="1">
        <f t="shared" si="10"/>
        <v>0</v>
      </c>
      <c r="F338" s="1">
        <f t="shared" si="11"/>
        <v>0</v>
      </c>
    </row>
    <row r="339" s="1" customFormat="1" spans="5:6">
      <c r="E339" s="1">
        <f t="shared" si="10"/>
        <v>0</v>
      </c>
      <c r="F339" s="1">
        <f t="shared" si="11"/>
        <v>0</v>
      </c>
    </row>
    <row r="340" s="1" customFormat="1" spans="5:6">
      <c r="E340" s="1">
        <f t="shared" si="10"/>
        <v>0</v>
      </c>
      <c r="F340" s="1">
        <f t="shared" si="11"/>
        <v>0</v>
      </c>
    </row>
    <row r="341" s="1" customFormat="1" spans="5:6">
      <c r="E341" s="1">
        <f t="shared" si="10"/>
        <v>0</v>
      </c>
      <c r="F341" s="1">
        <f t="shared" si="11"/>
        <v>0</v>
      </c>
    </row>
    <row r="342" s="1" customFormat="1" spans="5:6">
      <c r="E342" s="1">
        <f t="shared" si="10"/>
        <v>0</v>
      </c>
      <c r="F342" s="1">
        <f t="shared" si="11"/>
        <v>0</v>
      </c>
    </row>
    <row r="343" s="1" customFormat="1" spans="5:6">
      <c r="E343" s="1">
        <f t="shared" si="10"/>
        <v>0</v>
      </c>
      <c r="F343" s="1">
        <f t="shared" si="11"/>
        <v>0</v>
      </c>
    </row>
    <row r="344" s="1" customFormat="1" spans="5:6">
      <c r="E344" s="1">
        <f t="shared" si="10"/>
        <v>0</v>
      </c>
      <c r="F344" s="1">
        <f t="shared" si="11"/>
        <v>0</v>
      </c>
    </row>
    <row r="345" s="1" customFormat="1" spans="5:6">
      <c r="E345" s="1">
        <f t="shared" si="10"/>
        <v>0</v>
      </c>
      <c r="F345" s="1">
        <f t="shared" si="11"/>
        <v>0</v>
      </c>
    </row>
    <row r="346" s="1" customFormat="1" spans="5:6">
      <c r="E346" s="1">
        <f t="shared" si="10"/>
        <v>0</v>
      </c>
      <c r="F346" s="1">
        <f t="shared" si="11"/>
        <v>0</v>
      </c>
    </row>
    <row r="347" s="1" customFormat="1" spans="5:6">
      <c r="E347" s="1">
        <f t="shared" si="10"/>
        <v>0</v>
      </c>
      <c r="F347" s="1">
        <f t="shared" si="11"/>
        <v>0</v>
      </c>
    </row>
    <row r="348" s="1" customFormat="1" spans="5:6">
      <c r="E348" s="1">
        <f t="shared" si="10"/>
        <v>0</v>
      </c>
      <c r="F348" s="1">
        <f t="shared" si="11"/>
        <v>0</v>
      </c>
    </row>
    <row r="349" s="1" customFormat="1" spans="5:6">
      <c r="E349" s="1">
        <f t="shared" si="10"/>
        <v>0</v>
      </c>
      <c r="F349" s="1">
        <f t="shared" si="11"/>
        <v>0</v>
      </c>
    </row>
    <row r="350" s="1" customFormat="1" spans="5:6">
      <c r="E350" s="1">
        <f t="shared" si="10"/>
        <v>0</v>
      </c>
      <c r="F350" s="1">
        <f t="shared" si="11"/>
        <v>0</v>
      </c>
    </row>
    <row r="351" s="1" customFormat="1" spans="5:6">
      <c r="E351" s="1">
        <f t="shared" si="10"/>
        <v>0</v>
      </c>
      <c r="F351" s="1">
        <f t="shared" si="11"/>
        <v>0</v>
      </c>
    </row>
    <row r="352" s="1" customFormat="1" spans="5:6">
      <c r="E352" s="1">
        <f t="shared" si="10"/>
        <v>0</v>
      </c>
      <c r="F352" s="1">
        <f t="shared" si="11"/>
        <v>0</v>
      </c>
    </row>
    <row r="353" s="1" customFormat="1" spans="5:6">
      <c r="E353" s="1">
        <f t="shared" si="10"/>
        <v>0</v>
      </c>
      <c r="F353" s="1">
        <f t="shared" si="11"/>
        <v>0</v>
      </c>
    </row>
    <row r="354" s="1" customFormat="1" spans="5:6">
      <c r="E354" s="1">
        <f t="shared" si="10"/>
        <v>0</v>
      </c>
      <c r="F354" s="1">
        <f t="shared" si="11"/>
        <v>0</v>
      </c>
    </row>
    <row r="355" s="1" customFormat="1" spans="5:6">
      <c r="E355" s="1">
        <f t="shared" si="10"/>
        <v>0</v>
      </c>
      <c r="F355" s="1">
        <f t="shared" si="11"/>
        <v>0</v>
      </c>
    </row>
    <row r="356" s="1" customFormat="1" spans="5:6">
      <c r="E356" s="1">
        <f t="shared" si="10"/>
        <v>0</v>
      </c>
      <c r="F356" s="1">
        <f t="shared" si="11"/>
        <v>0</v>
      </c>
    </row>
    <row r="357" s="1" customFormat="1" spans="5:6">
      <c r="E357" s="1">
        <f t="shared" si="10"/>
        <v>0</v>
      </c>
      <c r="F357" s="1">
        <f t="shared" si="11"/>
        <v>0</v>
      </c>
    </row>
    <row r="358" s="1" customFormat="1" spans="5:6">
      <c r="E358" s="1">
        <f t="shared" si="10"/>
        <v>0</v>
      </c>
      <c r="F358" s="1">
        <f t="shared" si="11"/>
        <v>0</v>
      </c>
    </row>
    <row r="359" s="1" customFormat="1" spans="5:6">
      <c r="E359" s="1">
        <f t="shared" si="10"/>
        <v>0</v>
      </c>
      <c r="F359" s="1">
        <f t="shared" si="11"/>
        <v>0</v>
      </c>
    </row>
    <row r="360" s="1" customFormat="1" spans="5:6">
      <c r="E360" s="1">
        <f t="shared" si="10"/>
        <v>0</v>
      </c>
      <c r="F360" s="1">
        <f t="shared" si="11"/>
        <v>0</v>
      </c>
    </row>
    <row r="361" s="1" customFormat="1" spans="5:6">
      <c r="E361" s="1">
        <f t="shared" si="10"/>
        <v>0</v>
      </c>
      <c r="F361" s="1">
        <f t="shared" si="11"/>
        <v>0</v>
      </c>
    </row>
    <row r="362" s="1" customFormat="1" spans="5:6">
      <c r="E362" s="1">
        <f t="shared" si="10"/>
        <v>0</v>
      </c>
      <c r="F362" s="1">
        <f t="shared" si="11"/>
        <v>0</v>
      </c>
    </row>
    <row r="363" s="1" customFormat="1" spans="5:6">
      <c r="E363" s="1">
        <f t="shared" si="10"/>
        <v>0</v>
      </c>
      <c r="F363" s="1">
        <f t="shared" si="11"/>
        <v>0</v>
      </c>
    </row>
    <row r="364" s="1" customFormat="1" spans="5:6">
      <c r="E364" s="1">
        <f t="shared" si="10"/>
        <v>0</v>
      </c>
      <c r="F364" s="1">
        <f t="shared" si="11"/>
        <v>0</v>
      </c>
    </row>
    <row r="365" s="1" customFormat="1" spans="5:6">
      <c r="E365" s="1">
        <f t="shared" si="10"/>
        <v>0</v>
      </c>
      <c r="F365" s="1">
        <f t="shared" si="11"/>
        <v>0</v>
      </c>
    </row>
    <row r="366" s="1" customFormat="1" spans="5:6">
      <c r="E366" s="1">
        <f t="shared" si="10"/>
        <v>0</v>
      </c>
      <c r="F366" s="1">
        <f t="shared" si="11"/>
        <v>0</v>
      </c>
    </row>
    <row r="367" s="1" customFormat="1" spans="5:6">
      <c r="E367" s="1">
        <f t="shared" si="10"/>
        <v>0</v>
      </c>
      <c r="F367" s="1">
        <f t="shared" si="11"/>
        <v>0</v>
      </c>
    </row>
    <row r="368" s="1" customFormat="1" spans="5:6">
      <c r="E368" s="1">
        <f t="shared" si="10"/>
        <v>0</v>
      </c>
      <c r="F368" s="1">
        <f t="shared" si="11"/>
        <v>0</v>
      </c>
    </row>
    <row r="369" s="1" customFormat="1" spans="5:6">
      <c r="E369" s="1">
        <f t="shared" si="10"/>
        <v>0</v>
      </c>
      <c r="F369" s="1">
        <f t="shared" si="11"/>
        <v>0</v>
      </c>
    </row>
    <row r="370" s="1" customFormat="1" spans="5:6">
      <c r="E370" s="1">
        <f t="shared" si="10"/>
        <v>0</v>
      </c>
      <c r="F370" s="1">
        <f t="shared" si="11"/>
        <v>0</v>
      </c>
    </row>
    <row r="371" s="1" customFormat="1" spans="5:6">
      <c r="E371" s="1">
        <f t="shared" si="10"/>
        <v>0</v>
      </c>
      <c r="F371" s="1">
        <f t="shared" si="11"/>
        <v>0</v>
      </c>
    </row>
    <row r="372" s="1" customFormat="1" spans="5:6">
      <c r="E372" s="1">
        <f t="shared" si="10"/>
        <v>0</v>
      </c>
      <c r="F372" s="1">
        <f t="shared" si="11"/>
        <v>0</v>
      </c>
    </row>
    <row r="373" s="1" customFormat="1" spans="5:6">
      <c r="E373" s="1">
        <f t="shared" si="10"/>
        <v>0</v>
      </c>
      <c r="F373" s="1">
        <f t="shared" si="11"/>
        <v>0</v>
      </c>
    </row>
    <row r="374" s="1" customFormat="1" spans="5:6">
      <c r="E374" s="1">
        <f t="shared" si="10"/>
        <v>0</v>
      </c>
      <c r="F374" s="1">
        <f t="shared" si="11"/>
        <v>0</v>
      </c>
    </row>
    <row r="375" s="1" customFormat="1" spans="5:6">
      <c r="E375" s="1">
        <f t="shared" si="10"/>
        <v>0</v>
      </c>
      <c r="F375" s="1">
        <f t="shared" si="11"/>
        <v>0</v>
      </c>
    </row>
    <row r="376" s="1" customFormat="1" spans="5:6">
      <c r="E376" s="1">
        <f t="shared" si="10"/>
        <v>0</v>
      </c>
      <c r="F376" s="1">
        <f t="shared" si="11"/>
        <v>0</v>
      </c>
    </row>
    <row r="377" s="1" customFormat="1" spans="5:6">
      <c r="E377" s="1">
        <f t="shared" si="10"/>
        <v>0</v>
      </c>
      <c r="F377" s="1">
        <f t="shared" si="11"/>
        <v>0</v>
      </c>
    </row>
    <row r="378" s="1" customFormat="1" spans="5:6">
      <c r="E378" s="1">
        <f t="shared" si="10"/>
        <v>0</v>
      </c>
      <c r="F378" s="1">
        <f t="shared" si="11"/>
        <v>0</v>
      </c>
    </row>
    <row r="379" s="1" customFormat="1" spans="5:6">
      <c r="E379" s="1">
        <f t="shared" si="10"/>
        <v>0</v>
      </c>
      <c r="F379" s="1">
        <f t="shared" si="11"/>
        <v>0</v>
      </c>
    </row>
    <row r="380" s="1" customFormat="1" spans="5:6">
      <c r="E380" s="1">
        <f t="shared" si="10"/>
        <v>0</v>
      </c>
      <c r="F380" s="1">
        <f t="shared" si="11"/>
        <v>0</v>
      </c>
    </row>
    <row r="381" s="1" customFormat="1" spans="5:6">
      <c r="E381" s="1">
        <f t="shared" si="10"/>
        <v>0</v>
      </c>
      <c r="F381" s="1">
        <f t="shared" si="11"/>
        <v>0</v>
      </c>
    </row>
    <row r="382" s="1" customFormat="1" spans="5:6">
      <c r="E382" s="1">
        <f t="shared" si="10"/>
        <v>0</v>
      </c>
      <c r="F382" s="1">
        <f t="shared" si="11"/>
        <v>0</v>
      </c>
    </row>
    <row r="383" s="1" customFormat="1" spans="5:6">
      <c r="E383" s="1">
        <f t="shared" si="10"/>
        <v>0</v>
      </c>
      <c r="F383" s="1">
        <f t="shared" si="11"/>
        <v>0</v>
      </c>
    </row>
    <row r="384" s="1" customFormat="1" spans="5:6">
      <c r="E384" s="1">
        <f t="shared" si="10"/>
        <v>0</v>
      </c>
      <c r="F384" s="1">
        <f t="shared" si="11"/>
        <v>0</v>
      </c>
    </row>
    <row r="385" s="1" customFormat="1" spans="5:6">
      <c r="E385" s="1">
        <f t="shared" si="10"/>
        <v>0</v>
      </c>
      <c r="F385" s="1">
        <f t="shared" si="11"/>
        <v>0</v>
      </c>
    </row>
    <row r="386" s="1" customFormat="1" spans="5:6">
      <c r="E386" s="1">
        <f t="shared" si="10"/>
        <v>0</v>
      </c>
      <c r="F386" s="1">
        <f t="shared" si="11"/>
        <v>0</v>
      </c>
    </row>
    <row r="387" s="1" customFormat="1" spans="5:6">
      <c r="E387" s="1">
        <f t="shared" ref="E387:E450" si="12">IF(B387="买入",C387/D387,IF(B387="卖出",-C387/D387,0))</f>
        <v>0</v>
      </c>
      <c r="F387" s="1">
        <f t="shared" ref="F387:F450" si="13">IF(B387="买入",-C387,IF(B387="卖出",C387,0))</f>
        <v>0</v>
      </c>
    </row>
    <row r="388" s="1" customFormat="1" spans="5:6">
      <c r="E388" s="1">
        <f t="shared" si="12"/>
        <v>0</v>
      </c>
      <c r="F388" s="1">
        <f t="shared" si="13"/>
        <v>0</v>
      </c>
    </row>
    <row r="389" s="1" customFormat="1" spans="5:6">
      <c r="E389" s="1">
        <f t="shared" si="12"/>
        <v>0</v>
      </c>
      <c r="F389" s="1">
        <f t="shared" si="13"/>
        <v>0</v>
      </c>
    </row>
    <row r="390" s="1" customFormat="1" spans="5:6">
      <c r="E390" s="1">
        <f t="shared" si="12"/>
        <v>0</v>
      </c>
      <c r="F390" s="1">
        <f t="shared" si="13"/>
        <v>0</v>
      </c>
    </row>
    <row r="391" s="1" customFormat="1" spans="5:6">
      <c r="E391" s="1">
        <f t="shared" si="12"/>
        <v>0</v>
      </c>
      <c r="F391" s="1">
        <f t="shared" si="13"/>
        <v>0</v>
      </c>
    </row>
    <row r="392" s="1" customFormat="1" spans="5:6">
      <c r="E392" s="1">
        <f t="shared" si="12"/>
        <v>0</v>
      </c>
      <c r="F392" s="1">
        <f t="shared" si="13"/>
        <v>0</v>
      </c>
    </row>
    <row r="393" s="1" customFormat="1" spans="5:6">
      <c r="E393" s="1">
        <f t="shared" si="12"/>
        <v>0</v>
      </c>
      <c r="F393" s="1">
        <f t="shared" si="13"/>
        <v>0</v>
      </c>
    </row>
    <row r="394" s="1" customFormat="1" spans="5:6">
      <c r="E394" s="1">
        <f t="shared" si="12"/>
        <v>0</v>
      </c>
      <c r="F394" s="1">
        <f t="shared" si="13"/>
        <v>0</v>
      </c>
    </row>
    <row r="395" s="1" customFormat="1" spans="5:6">
      <c r="E395" s="1">
        <f t="shared" si="12"/>
        <v>0</v>
      </c>
      <c r="F395" s="1">
        <f t="shared" si="13"/>
        <v>0</v>
      </c>
    </row>
    <row r="396" s="1" customFormat="1" spans="5:6">
      <c r="E396" s="1">
        <f t="shared" si="12"/>
        <v>0</v>
      </c>
      <c r="F396" s="1">
        <f t="shared" si="13"/>
        <v>0</v>
      </c>
    </row>
    <row r="397" s="1" customFormat="1" spans="5:6">
      <c r="E397" s="1">
        <f t="shared" si="12"/>
        <v>0</v>
      </c>
      <c r="F397" s="1">
        <f t="shared" si="13"/>
        <v>0</v>
      </c>
    </row>
    <row r="398" s="1" customFormat="1" spans="5:6">
      <c r="E398" s="1">
        <f t="shared" si="12"/>
        <v>0</v>
      </c>
      <c r="F398" s="1">
        <f t="shared" si="13"/>
        <v>0</v>
      </c>
    </row>
    <row r="399" s="1" customFormat="1" spans="5:6">
      <c r="E399" s="1">
        <f t="shared" si="12"/>
        <v>0</v>
      </c>
      <c r="F399" s="1">
        <f t="shared" si="13"/>
        <v>0</v>
      </c>
    </row>
    <row r="400" s="1" customFormat="1" spans="5:6">
      <c r="E400" s="1">
        <f t="shared" si="12"/>
        <v>0</v>
      </c>
      <c r="F400" s="1">
        <f t="shared" si="13"/>
        <v>0</v>
      </c>
    </row>
    <row r="401" s="1" customFormat="1" spans="5:6">
      <c r="E401" s="1">
        <f t="shared" si="12"/>
        <v>0</v>
      </c>
      <c r="F401" s="1">
        <f t="shared" si="13"/>
        <v>0</v>
      </c>
    </row>
    <row r="402" s="1" customFormat="1" spans="5:6">
      <c r="E402" s="1">
        <f t="shared" si="12"/>
        <v>0</v>
      </c>
      <c r="F402" s="1">
        <f t="shared" si="13"/>
        <v>0</v>
      </c>
    </row>
    <row r="403" s="1" customFormat="1" spans="5:6">
      <c r="E403" s="1">
        <f t="shared" si="12"/>
        <v>0</v>
      </c>
      <c r="F403" s="1">
        <f t="shared" si="13"/>
        <v>0</v>
      </c>
    </row>
    <row r="404" s="1" customFormat="1" spans="5:6">
      <c r="E404" s="1">
        <f t="shared" si="12"/>
        <v>0</v>
      </c>
      <c r="F404" s="1">
        <f t="shared" si="13"/>
        <v>0</v>
      </c>
    </row>
    <row r="405" s="1" customFormat="1" spans="5:6">
      <c r="E405" s="1">
        <f t="shared" si="12"/>
        <v>0</v>
      </c>
      <c r="F405" s="1">
        <f t="shared" si="13"/>
        <v>0</v>
      </c>
    </row>
    <row r="406" s="1" customFormat="1" spans="5:6">
      <c r="E406" s="1">
        <f t="shared" si="12"/>
        <v>0</v>
      </c>
      <c r="F406" s="1">
        <f t="shared" si="13"/>
        <v>0</v>
      </c>
    </row>
    <row r="407" s="1" customFormat="1" spans="5:6">
      <c r="E407" s="1">
        <f t="shared" si="12"/>
        <v>0</v>
      </c>
      <c r="F407" s="1">
        <f t="shared" si="13"/>
        <v>0</v>
      </c>
    </row>
    <row r="408" s="1" customFormat="1" spans="5:6">
      <c r="E408" s="1">
        <f t="shared" si="12"/>
        <v>0</v>
      </c>
      <c r="F408" s="1">
        <f t="shared" si="13"/>
        <v>0</v>
      </c>
    </row>
    <row r="409" s="1" customFormat="1" spans="5:6">
      <c r="E409" s="1">
        <f t="shared" si="12"/>
        <v>0</v>
      </c>
      <c r="F409" s="1">
        <f t="shared" si="13"/>
        <v>0</v>
      </c>
    </row>
    <row r="410" s="1" customFormat="1" spans="5:6">
      <c r="E410" s="1">
        <f t="shared" si="12"/>
        <v>0</v>
      </c>
      <c r="F410" s="1">
        <f t="shared" si="13"/>
        <v>0</v>
      </c>
    </row>
    <row r="411" s="1" customFormat="1" spans="5:6">
      <c r="E411" s="1">
        <f t="shared" si="12"/>
        <v>0</v>
      </c>
      <c r="F411" s="1">
        <f t="shared" si="13"/>
        <v>0</v>
      </c>
    </row>
    <row r="412" s="1" customFormat="1" spans="5:6">
      <c r="E412" s="1">
        <f t="shared" si="12"/>
        <v>0</v>
      </c>
      <c r="F412" s="1">
        <f t="shared" si="13"/>
        <v>0</v>
      </c>
    </row>
    <row r="413" s="1" customFormat="1" spans="5:6">
      <c r="E413" s="1">
        <f t="shared" si="12"/>
        <v>0</v>
      </c>
      <c r="F413" s="1">
        <f t="shared" si="13"/>
        <v>0</v>
      </c>
    </row>
    <row r="414" s="1" customFormat="1" spans="5:6">
      <c r="E414" s="1">
        <f t="shared" si="12"/>
        <v>0</v>
      </c>
      <c r="F414" s="1">
        <f t="shared" si="13"/>
        <v>0</v>
      </c>
    </row>
    <row r="415" s="1" customFormat="1" spans="5:6">
      <c r="E415" s="1">
        <f t="shared" si="12"/>
        <v>0</v>
      </c>
      <c r="F415" s="1">
        <f t="shared" si="13"/>
        <v>0</v>
      </c>
    </row>
    <row r="416" s="1" customFormat="1" spans="5:6">
      <c r="E416" s="1">
        <f t="shared" si="12"/>
        <v>0</v>
      </c>
      <c r="F416" s="1">
        <f t="shared" si="13"/>
        <v>0</v>
      </c>
    </row>
    <row r="417" s="1" customFormat="1" spans="5:6">
      <c r="E417" s="1">
        <f t="shared" si="12"/>
        <v>0</v>
      </c>
      <c r="F417" s="1">
        <f t="shared" si="13"/>
        <v>0</v>
      </c>
    </row>
    <row r="418" s="1" customFormat="1" spans="5:6">
      <c r="E418" s="1">
        <f t="shared" si="12"/>
        <v>0</v>
      </c>
      <c r="F418" s="1">
        <f t="shared" si="13"/>
        <v>0</v>
      </c>
    </row>
    <row r="419" s="1" customFormat="1" spans="5:6">
      <c r="E419" s="1">
        <f t="shared" si="12"/>
        <v>0</v>
      </c>
      <c r="F419" s="1">
        <f t="shared" si="13"/>
        <v>0</v>
      </c>
    </row>
    <row r="420" s="1" customFormat="1" spans="5:6">
      <c r="E420" s="1">
        <f t="shared" si="12"/>
        <v>0</v>
      </c>
      <c r="F420" s="1">
        <f t="shared" si="13"/>
        <v>0</v>
      </c>
    </row>
    <row r="421" s="1" customFormat="1" spans="5:6">
      <c r="E421" s="1">
        <f t="shared" si="12"/>
        <v>0</v>
      </c>
      <c r="F421" s="1">
        <f t="shared" si="13"/>
        <v>0</v>
      </c>
    </row>
    <row r="422" s="1" customFormat="1" spans="5:6">
      <c r="E422" s="1">
        <f t="shared" si="12"/>
        <v>0</v>
      </c>
      <c r="F422" s="1">
        <f t="shared" si="13"/>
        <v>0</v>
      </c>
    </row>
    <row r="423" s="1" customFormat="1" spans="5:6">
      <c r="E423" s="1">
        <f t="shared" si="12"/>
        <v>0</v>
      </c>
      <c r="F423" s="1">
        <f t="shared" si="13"/>
        <v>0</v>
      </c>
    </row>
    <row r="424" s="1" customFormat="1" spans="5:6">
      <c r="E424" s="1">
        <f t="shared" si="12"/>
        <v>0</v>
      </c>
      <c r="F424" s="1">
        <f t="shared" si="13"/>
        <v>0</v>
      </c>
    </row>
    <row r="425" s="1" customFormat="1" spans="5:6">
      <c r="E425" s="1">
        <f t="shared" si="12"/>
        <v>0</v>
      </c>
      <c r="F425" s="1">
        <f t="shared" si="13"/>
        <v>0</v>
      </c>
    </row>
    <row r="426" s="1" customFormat="1" spans="5:6">
      <c r="E426" s="1">
        <f t="shared" si="12"/>
        <v>0</v>
      </c>
      <c r="F426" s="1">
        <f t="shared" si="13"/>
        <v>0</v>
      </c>
    </row>
    <row r="427" s="1" customFormat="1" spans="5:6">
      <c r="E427" s="1">
        <f t="shared" si="12"/>
        <v>0</v>
      </c>
      <c r="F427" s="1">
        <f t="shared" si="13"/>
        <v>0</v>
      </c>
    </row>
    <row r="428" s="1" customFormat="1" spans="5:6">
      <c r="E428" s="1">
        <f t="shared" si="12"/>
        <v>0</v>
      </c>
      <c r="F428" s="1">
        <f t="shared" si="13"/>
        <v>0</v>
      </c>
    </row>
    <row r="429" s="1" customFormat="1" spans="5:6">
      <c r="E429" s="1">
        <f t="shared" si="12"/>
        <v>0</v>
      </c>
      <c r="F429" s="1">
        <f t="shared" si="13"/>
        <v>0</v>
      </c>
    </row>
    <row r="430" s="1" customFormat="1" spans="5:6">
      <c r="E430" s="1">
        <f t="shared" si="12"/>
        <v>0</v>
      </c>
      <c r="F430" s="1">
        <f t="shared" si="13"/>
        <v>0</v>
      </c>
    </row>
    <row r="431" s="1" customFormat="1" spans="5:6">
      <c r="E431" s="1">
        <f t="shared" si="12"/>
        <v>0</v>
      </c>
      <c r="F431" s="1">
        <f t="shared" si="13"/>
        <v>0</v>
      </c>
    </row>
    <row r="432" s="1" customFormat="1" spans="5:6">
      <c r="E432" s="1">
        <f t="shared" si="12"/>
        <v>0</v>
      </c>
      <c r="F432" s="1">
        <f t="shared" si="13"/>
        <v>0</v>
      </c>
    </row>
    <row r="433" s="1" customFormat="1" spans="5:6">
      <c r="E433" s="1">
        <f t="shared" si="12"/>
        <v>0</v>
      </c>
      <c r="F433" s="1">
        <f t="shared" si="13"/>
        <v>0</v>
      </c>
    </row>
    <row r="434" s="1" customFormat="1" spans="5:6">
      <c r="E434" s="1">
        <f t="shared" si="12"/>
        <v>0</v>
      </c>
      <c r="F434" s="1">
        <f t="shared" si="13"/>
        <v>0</v>
      </c>
    </row>
    <row r="435" s="1" customFormat="1" spans="5:6">
      <c r="E435" s="1">
        <f t="shared" si="12"/>
        <v>0</v>
      </c>
      <c r="F435" s="1">
        <f t="shared" si="13"/>
        <v>0</v>
      </c>
    </row>
    <row r="436" s="1" customFormat="1" spans="5:6">
      <c r="E436" s="1">
        <f t="shared" si="12"/>
        <v>0</v>
      </c>
      <c r="F436" s="1">
        <f t="shared" si="13"/>
        <v>0</v>
      </c>
    </row>
    <row r="437" s="1" customFormat="1" spans="5:6">
      <c r="E437" s="1">
        <f t="shared" si="12"/>
        <v>0</v>
      </c>
      <c r="F437" s="1">
        <f t="shared" si="13"/>
        <v>0</v>
      </c>
    </row>
    <row r="438" s="1" customFormat="1" spans="5:6">
      <c r="E438" s="1">
        <f t="shared" si="12"/>
        <v>0</v>
      </c>
      <c r="F438" s="1">
        <f t="shared" si="13"/>
        <v>0</v>
      </c>
    </row>
    <row r="439" s="1" customFormat="1" spans="5:6">
      <c r="E439" s="1">
        <f t="shared" si="12"/>
        <v>0</v>
      </c>
      <c r="F439" s="1">
        <f t="shared" si="13"/>
        <v>0</v>
      </c>
    </row>
    <row r="440" s="1" customFormat="1" spans="5:6">
      <c r="E440" s="1">
        <f t="shared" si="12"/>
        <v>0</v>
      </c>
      <c r="F440" s="1">
        <f t="shared" si="13"/>
        <v>0</v>
      </c>
    </row>
    <row r="441" s="1" customFormat="1" spans="5:6">
      <c r="E441" s="1">
        <f t="shared" si="12"/>
        <v>0</v>
      </c>
      <c r="F441" s="1">
        <f t="shared" si="13"/>
        <v>0</v>
      </c>
    </row>
    <row r="442" s="1" customFormat="1" spans="5:6">
      <c r="E442" s="1">
        <f t="shared" si="12"/>
        <v>0</v>
      </c>
      <c r="F442" s="1">
        <f t="shared" si="13"/>
        <v>0</v>
      </c>
    </row>
    <row r="443" s="1" customFormat="1" spans="5:6">
      <c r="E443" s="1">
        <f t="shared" si="12"/>
        <v>0</v>
      </c>
      <c r="F443" s="1">
        <f t="shared" si="13"/>
        <v>0</v>
      </c>
    </row>
    <row r="444" s="1" customFormat="1" spans="5:6">
      <c r="E444" s="1">
        <f t="shared" si="12"/>
        <v>0</v>
      </c>
      <c r="F444" s="1">
        <f t="shared" si="13"/>
        <v>0</v>
      </c>
    </row>
    <row r="445" s="1" customFormat="1" spans="5:6">
      <c r="E445" s="1">
        <f t="shared" si="12"/>
        <v>0</v>
      </c>
      <c r="F445" s="1">
        <f t="shared" si="13"/>
        <v>0</v>
      </c>
    </row>
    <row r="446" s="1" customFormat="1" spans="5:6">
      <c r="E446" s="1">
        <f t="shared" si="12"/>
        <v>0</v>
      </c>
      <c r="F446" s="1">
        <f t="shared" si="13"/>
        <v>0</v>
      </c>
    </row>
    <row r="447" s="1" customFormat="1" spans="5:6">
      <c r="E447" s="1">
        <f t="shared" si="12"/>
        <v>0</v>
      </c>
      <c r="F447" s="1">
        <f t="shared" si="13"/>
        <v>0</v>
      </c>
    </row>
    <row r="448" s="1" customFormat="1" spans="5:6">
      <c r="E448" s="1">
        <f t="shared" si="12"/>
        <v>0</v>
      </c>
      <c r="F448" s="1">
        <f t="shared" si="13"/>
        <v>0</v>
      </c>
    </row>
    <row r="449" s="1" customFormat="1" spans="5:6">
      <c r="E449" s="1">
        <f t="shared" si="12"/>
        <v>0</v>
      </c>
      <c r="F449" s="1">
        <f t="shared" si="13"/>
        <v>0</v>
      </c>
    </row>
    <row r="450" s="1" customFormat="1" spans="5:6">
      <c r="E450" s="1">
        <f t="shared" si="12"/>
        <v>0</v>
      </c>
      <c r="F450" s="1">
        <f t="shared" si="13"/>
        <v>0</v>
      </c>
    </row>
    <row r="451" s="1" customFormat="1" spans="5:6">
      <c r="E451" s="1">
        <f t="shared" ref="E451:E514" si="14">IF(B451="买入",C451/D451,IF(B451="卖出",-C451/D451,0))</f>
        <v>0</v>
      </c>
      <c r="F451" s="1">
        <f t="shared" ref="F451:F514" si="15">IF(B451="买入",-C451,IF(B451="卖出",C451,0))</f>
        <v>0</v>
      </c>
    </row>
    <row r="452" s="1" customFormat="1" spans="5:6">
      <c r="E452" s="1">
        <f t="shared" si="14"/>
        <v>0</v>
      </c>
      <c r="F452" s="1">
        <f t="shared" si="15"/>
        <v>0</v>
      </c>
    </row>
    <row r="453" s="1" customFormat="1" spans="5:6">
      <c r="E453" s="1">
        <f t="shared" si="14"/>
        <v>0</v>
      </c>
      <c r="F453" s="1">
        <f t="shared" si="15"/>
        <v>0</v>
      </c>
    </row>
    <row r="454" s="1" customFormat="1" spans="5:6">
      <c r="E454" s="1">
        <f t="shared" si="14"/>
        <v>0</v>
      </c>
      <c r="F454" s="1">
        <f t="shared" si="15"/>
        <v>0</v>
      </c>
    </row>
    <row r="455" s="1" customFormat="1" spans="5:6">
      <c r="E455" s="1">
        <f t="shared" si="14"/>
        <v>0</v>
      </c>
      <c r="F455" s="1">
        <f t="shared" si="15"/>
        <v>0</v>
      </c>
    </row>
    <row r="456" s="1" customFormat="1" spans="5:6">
      <c r="E456" s="1">
        <f t="shared" si="14"/>
        <v>0</v>
      </c>
      <c r="F456" s="1">
        <f t="shared" si="15"/>
        <v>0</v>
      </c>
    </row>
    <row r="457" s="1" customFormat="1" spans="5:6">
      <c r="E457" s="1">
        <f t="shared" si="14"/>
        <v>0</v>
      </c>
      <c r="F457" s="1">
        <f t="shared" si="15"/>
        <v>0</v>
      </c>
    </row>
    <row r="458" s="1" customFormat="1" spans="5:6">
      <c r="E458" s="1">
        <f t="shared" si="14"/>
        <v>0</v>
      </c>
      <c r="F458" s="1">
        <f t="shared" si="15"/>
        <v>0</v>
      </c>
    </row>
    <row r="459" s="1" customFormat="1" spans="5:6">
      <c r="E459" s="1">
        <f t="shared" si="14"/>
        <v>0</v>
      </c>
      <c r="F459" s="1">
        <f t="shared" si="15"/>
        <v>0</v>
      </c>
    </row>
    <row r="460" s="1" customFormat="1" spans="5:6">
      <c r="E460" s="1">
        <f t="shared" si="14"/>
        <v>0</v>
      </c>
      <c r="F460" s="1">
        <f t="shared" si="15"/>
        <v>0</v>
      </c>
    </row>
    <row r="461" s="1" customFormat="1" spans="5:6">
      <c r="E461" s="1">
        <f t="shared" si="14"/>
        <v>0</v>
      </c>
      <c r="F461" s="1">
        <f t="shared" si="15"/>
        <v>0</v>
      </c>
    </row>
    <row r="462" s="1" customFormat="1" spans="5:6">
      <c r="E462" s="1">
        <f t="shared" si="14"/>
        <v>0</v>
      </c>
      <c r="F462" s="1">
        <f t="shared" si="15"/>
        <v>0</v>
      </c>
    </row>
    <row r="463" s="1" customFormat="1" spans="5:6">
      <c r="E463" s="1">
        <f t="shared" si="14"/>
        <v>0</v>
      </c>
      <c r="F463" s="1">
        <f t="shared" si="15"/>
        <v>0</v>
      </c>
    </row>
    <row r="464" s="1" customFormat="1" spans="5:6">
      <c r="E464" s="1">
        <f t="shared" si="14"/>
        <v>0</v>
      </c>
      <c r="F464" s="1">
        <f t="shared" si="15"/>
        <v>0</v>
      </c>
    </row>
    <row r="465" s="1" customFormat="1" spans="5:6">
      <c r="E465" s="1">
        <f t="shared" si="14"/>
        <v>0</v>
      </c>
      <c r="F465" s="1">
        <f t="shared" si="15"/>
        <v>0</v>
      </c>
    </row>
    <row r="466" s="1" customFormat="1" spans="5:6">
      <c r="E466" s="1">
        <f t="shared" si="14"/>
        <v>0</v>
      </c>
      <c r="F466" s="1">
        <f t="shared" si="15"/>
        <v>0</v>
      </c>
    </row>
    <row r="467" s="1" customFormat="1" spans="5:6">
      <c r="E467" s="1">
        <f t="shared" si="14"/>
        <v>0</v>
      </c>
      <c r="F467" s="1">
        <f t="shared" si="15"/>
        <v>0</v>
      </c>
    </row>
    <row r="468" s="1" customFormat="1" spans="5:6">
      <c r="E468" s="1">
        <f t="shared" si="14"/>
        <v>0</v>
      </c>
      <c r="F468" s="1">
        <f t="shared" si="15"/>
        <v>0</v>
      </c>
    </row>
    <row r="469" s="1" customFormat="1" spans="5:6">
      <c r="E469" s="1">
        <f t="shared" si="14"/>
        <v>0</v>
      </c>
      <c r="F469" s="1">
        <f t="shared" si="15"/>
        <v>0</v>
      </c>
    </row>
    <row r="470" s="1" customFormat="1" spans="5:6">
      <c r="E470" s="1">
        <f t="shared" si="14"/>
        <v>0</v>
      </c>
      <c r="F470" s="1">
        <f t="shared" si="15"/>
        <v>0</v>
      </c>
    </row>
    <row r="471" s="1" customFormat="1" spans="5:6">
      <c r="E471" s="1">
        <f t="shared" si="14"/>
        <v>0</v>
      </c>
      <c r="F471" s="1">
        <f t="shared" si="15"/>
        <v>0</v>
      </c>
    </row>
    <row r="472" s="1" customFormat="1" spans="5:6">
      <c r="E472" s="1">
        <f t="shared" si="14"/>
        <v>0</v>
      </c>
      <c r="F472" s="1">
        <f t="shared" si="15"/>
        <v>0</v>
      </c>
    </row>
    <row r="473" s="1" customFormat="1" spans="5:6">
      <c r="E473" s="1">
        <f t="shared" si="14"/>
        <v>0</v>
      </c>
      <c r="F473" s="1">
        <f t="shared" si="15"/>
        <v>0</v>
      </c>
    </row>
    <row r="474" s="1" customFormat="1" spans="5:6">
      <c r="E474" s="1">
        <f t="shared" si="14"/>
        <v>0</v>
      </c>
      <c r="F474" s="1">
        <f t="shared" si="15"/>
        <v>0</v>
      </c>
    </row>
    <row r="475" s="1" customFormat="1" spans="5:6">
      <c r="E475" s="1">
        <f t="shared" si="14"/>
        <v>0</v>
      </c>
      <c r="F475" s="1">
        <f t="shared" si="15"/>
        <v>0</v>
      </c>
    </row>
    <row r="476" s="1" customFormat="1" spans="5:6">
      <c r="E476" s="1">
        <f t="shared" si="14"/>
        <v>0</v>
      </c>
      <c r="F476" s="1">
        <f t="shared" si="15"/>
        <v>0</v>
      </c>
    </row>
    <row r="477" s="1" customFormat="1" spans="5:6">
      <c r="E477" s="1">
        <f t="shared" si="14"/>
        <v>0</v>
      </c>
      <c r="F477" s="1">
        <f t="shared" si="15"/>
        <v>0</v>
      </c>
    </row>
    <row r="478" s="1" customFormat="1" spans="5:6">
      <c r="E478" s="1">
        <f t="shared" si="14"/>
        <v>0</v>
      </c>
      <c r="F478" s="1">
        <f t="shared" si="15"/>
        <v>0</v>
      </c>
    </row>
    <row r="479" s="1" customFormat="1" spans="5:6">
      <c r="E479" s="1">
        <f t="shared" si="14"/>
        <v>0</v>
      </c>
      <c r="F479" s="1">
        <f t="shared" si="15"/>
        <v>0</v>
      </c>
    </row>
    <row r="480" s="1" customFormat="1" spans="5:6">
      <c r="E480" s="1">
        <f t="shared" si="14"/>
        <v>0</v>
      </c>
      <c r="F480" s="1">
        <f t="shared" si="15"/>
        <v>0</v>
      </c>
    </row>
    <row r="481" s="1" customFormat="1" spans="5:6">
      <c r="E481" s="1">
        <f t="shared" si="14"/>
        <v>0</v>
      </c>
      <c r="F481" s="1">
        <f t="shared" si="15"/>
        <v>0</v>
      </c>
    </row>
    <row r="482" s="1" customFormat="1" spans="5:6">
      <c r="E482" s="1">
        <f t="shared" si="14"/>
        <v>0</v>
      </c>
      <c r="F482" s="1">
        <f t="shared" si="15"/>
        <v>0</v>
      </c>
    </row>
    <row r="483" s="1" customFormat="1" spans="5:6">
      <c r="E483" s="1">
        <f t="shared" si="14"/>
        <v>0</v>
      </c>
      <c r="F483" s="1">
        <f t="shared" si="15"/>
        <v>0</v>
      </c>
    </row>
    <row r="484" s="1" customFormat="1" spans="5:6">
      <c r="E484" s="1">
        <f t="shared" si="14"/>
        <v>0</v>
      </c>
      <c r="F484" s="1">
        <f t="shared" si="15"/>
        <v>0</v>
      </c>
    </row>
    <row r="485" s="1" customFormat="1" spans="5:6">
      <c r="E485" s="1">
        <f t="shared" si="14"/>
        <v>0</v>
      </c>
      <c r="F485" s="1">
        <f t="shared" si="15"/>
        <v>0</v>
      </c>
    </row>
    <row r="486" s="1" customFormat="1" spans="5:6">
      <c r="E486" s="1">
        <f t="shared" si="14"/>
        <v>0</v>
      </c>
      <c r="F486" s="1">
        <f t="shared" si="15"/>
        <v>0</v>
      </c>
    </row>
    <row r="487" s="1" customFormat="1" spans="5:6">
      <c r="E487" s="1">
        <f t="shared" si="14"/>
        <v>0</v>
      </c>
      <c r="F487" s="1">
        <f t="shared" si="15"/>
        <v>0</v>
      </c>
    </row>
    <row r="488" s="1" customFormat="1" spans="5:6">
      <c r="E488" s="1">
        <f t="shared" si="14"/>
        <v>0</v>
      </c>
      <c r="F488" s="1">
        <f t="shared" si="15"/>
        <v>0</v>
      </c>
    </row>
    <row r="489" s="1" customFormat="1" spans="5:6">
      <c r="E489" s="1">
        <f t="shared" si="14"/>
        <v>0</v>
      </c>
      <c r="F489" s="1">
        <f t="shared" si="15"/>
        <v>0</v>
      </c>
    </row>
    <row r="490" s="1" customFormat="1" spans="5:6">
      <c r="E490" s="1">
        <f t="shared" si="14"/>
        <v>0</v>
      </c>
      <c r="F490" s="1">
        <f t="shared" si="15"/>
        <v>0</v>
      </c>
    </row>
    <row r="491" s="1" customFormat="1" spans="5:6">
      <c r="E491" s="1">
        <f t="shared" si="14"/>
        <v>0</v>
      </c>
      <c r="F491" s="1">
        <f t="shared" si="15"/>
        <v>0</v>
      </c>
    </row>
    <row r="492" s="1" customFormat="1" spans="5:6">
      <c r="E492" s="1">
        <f t="shared" si="14"/>
        <v>0</v>
      </c>
      <c r="F492" s="1">
        <f t="shared" si="15"/>
        <v>0</v>
      </c>
    </row>
    <row r="493" s="1" customFormat="1" spans="5:6">
      <c r="E493" s="1">
        <f t="shared" si="14"/>
        <v>0</v>
      </c>
      <c r="F493" s="1">
        <f t="shared" si="15"/>
        <v>0</v>
      </c>
    </row>
    <row r="494" s="1" customFormat="1" spans="5:6">
      <c r="E494" s="1">
        <f t="shared" si="14"/>
        <v>0</v>
      </c>
      <c r="F494" s="1">
        <f t="shared" si="15"/>
        <v>0</v>
      </c>
    </row>
    <row r="495" s="1" customFormat="1" spans="5:6">
      <c r="E495" s="1">
        <f t="shared" si="14"/>
        <v>0</v>
      </c>
      <c r="F495" s="1">
        <f t="shared" si="15"/>
        <v>0</v>
      </c>
    </row>
    <row r="496" s="1" customFormat="1" spans="5:6">
      <c r="E496" s="1">
        <f t="shared" si="14"/>
        <v>0</v>
      </c>
      <c r="F496" s="1">
        <f t="shared" si="15"/>
        <v>0</v>
      </c>
    </row>
    <row r="497" s="1" customFormat="1" spans="5:6">
      <c r="E497" s="1">
        <f t="shared" si="14"/>
        <v>0</v>
      </c>
      <c r="F497" s="1">
        <f t="shared" si="15"/>
        <v>0</v>
      </c>
    </row>
    <row r="498" s="1" customFormat="1" spans="5:6">
      <c r="E498" s="1">
        <f t="shared" si="14"/>
        <v>0</v>
      </c>
      <c r="F498" s="1">
        <f t="shared" si="15"/>
        <v>0</v>
      </c>
    </row>
    <row r="499" s="1" customFormat="1" spans="5:6">
      <c r="E499" s="1">
        <f t="shared" si="14"/>
        <v>0</v>
      </c>
      <c r="F499" s="1">
        <f t="shared" si="15"/>
        <v>0</v>
      </c>
    </row>
    <row r="500" s="1" customFormat="1" spans="5:6">
      <c r="E500" s="1">
        <f t="shared" si="14"/>
        <v>0</v>
      </c>
      <c r="F500" s="1">
        <f t="shared" si="15"/>
        <v>0</v>
      </c>
    </row>
    <row r="501" s="1" customFormat="1" spans="5:6">
      <c r="E501" s="1">
        <f t="shared" si="14"/>
        <v>0</v>
      </c>
      <c r="F501" s="1">
        <f t="shared" si="15"/>
        <v>0</v>
      </c>
    </row>
    <row r="502" s="1" customFormat="1" spans="5:6">
      <c r="E502" s="1">
        <f t="shared" si="14"/>
        <v>0</v>
      </c>
      <c r="F502" s="1">
        <f t="shared" si="15"/>
        <v>0</v>
      </c>
    </row>
    <row r="503" s="1" customFormat="1" spans="5:6">
      <c r="E503" s="1">
        <f t="shared" si="14"/>
        <v>0</v>
      </c>
      <c r="F503" s="1">
        <f t="shared" si="15"/>
        <v>0</v>
      </c>
    </row>
    <row r="504" s="1" customFormat="1" spans="5:6">
      <c r="E504" s="1">
        <f t="shared" si="14"/>
        <v>0</v>
      </c>
      <c r="F504" s="1">
        <f t="shared" si="15"/>
        <v>0</v>
      </c>
    </row>
    <row r="505" s="1" customFormat="1" spans="5:6">
      <c r="E505" s="1">
        <f t="shared" si="14"/>
        <v>0</v>
      </c>
      <c r="F505" s="1">
        <f t="shared" si="15"/>
        <v>0</v>
      </c>
    </row>
    <row r="506" s="1" customFormat="1" spans="5:6">
      <c r="E506" s="1">
        <f t="shared" si="14"/>
        <v>0</v>
      </c>
      <c r="F506" s="1">
        <f t="shared" si="15"/>
        <v>0</v>
      </c>
    </row>
    <row r="507" s="1" customFormat="1" spans="5:6">
      <c r="E507" s="1">
        <f t="shared" si="14"/>
        <v>0</v>
      </c>
      <c r="F507" s="1">
        <f t="shared" si="15"/>
        <v>0</v>
      </c>
    </row>
    <row r="508" s="1" customFormat="1" spans="5:6">
      <c r="E508" s="1">
        <f t="shared" si="14"/>
        <v>0</v>
      </c>
      <c r="F508" s="1">
        <f t="shared" si="15"/>
        <v>0</v>
      </c>
    </row>
    <row r="509" s="1" customFormat="1" spans="5:6">
      <c r="E509" s="1">
        <f t="shared" si="14"/>
        <v>0</v>
      </c>
      <c r="F509" s="1">
        <f t="shared" si="15"/>
        <v>0</v>
      </c>
    </row>
    <row r="510" s="1" customFormat="1" spans="5:6">
      <c r="E510" s="1">
        <f t="shared" si="14"/>
        <v>0</v>
      </c>
      <c r="F510" s="1">
        <f t="shared" si="15"/>
        <v>0</v>
      </c>
    </row>
    <row r="511" s="1" customFormat="1" spans="5:6">
      <c r="E511" s="1">
        <f t="shared" si="14"/>
        <v>0</v>
      </c>
      <c r="F511" s="1">
        <f t="shared" si="15"/>
        <v>0</v>
      </c>
    </row>
    <row r="512" s="1" customFormat="1" spans="5:6">
      <c r="E512" s="1">
        <f t="shared" si="14"/>
        <v>0</v>
      </c>
      <c r="F512" s="1">
        <f t="shared" si="15"/>
        <v>0</v>
      </c>
    </row>
    <row r="513" s="1" customFormat="1" spans="5:6">
      <c r="E513" s="1">
        <f t="shared" si="14"/>
        <v>0</v>
      </c>
      <c r="F513" s="1">
        <f t="shared" si="15"/>
        <v>0</v>
      </c>
    </row>
    <row r="514" s="1" customFormat="1" spans="5:6">
      <c r="E514" s="1">
        <f t="shared" si="14"/>
        <v>0</v>
      </c>
      <c r="F514" s="1">
        <f t="shared" si="15"/>
        <v>0</v>
      </c>
    </row>
    <row r="515" s="1" customFormat="1" spans="5:6">
      <c r="E515" s="1">
        <f t="shared" ref="E515:E578" si="16">IF(B515="买入",C515/D515,IF(B515="卖出",-C515/D515,0))</f>
        <v>0</v>
      </c>
      <c r="F515" s="1">
        <f t="shared" ref="F515:F578" si="17">IF(B515="买入",-C515,IF(B515="卖出",C515,0))</f>
        <v>0</v>
      </c>
    </row>
    <row r="516" s="1" customFormat="1" spans="5:6">
      <c r="E516" s="1">
        <f t="shared" si="16"/>
        <v>0</v>
      </c>
      <c r="F516" s="1">
        <f t="shared" si="17"/>
        <v>0</v>
      </c>
    </row>
    <row r="517" s="1" customFormat="1" spans="5:6">
      <c r="E517" s="1">
        <f t="shared" si="16"/>
        <v>0</v>
      </c>
      <c r="F517" s="1">
        <f t="shared" si="17"/>
        <v>0</v>
      </c>
    </row>
    <row r="518" s="1" customFormat="1" spans="5:6">
      <c r="E518" s="1">
        <f t="shared" si="16"/>
        <v>0</v>
      </c>
      <c r="F518" s="1">
        <f t="shared" si="17"/>
        <v>0</v>
      </c>
    </row>
    <row r="519" s="1" customFormat="1" spans="5:6">
      <c r="E519" s="1">
        <f t="shared" si="16"/>
        <v>0</v>
      </c>
      <c r="F519" s="1">
        <f t="shared" si="17"/>
        <v>0</v>
      </c>
    </row>
    <row r="520" s="1" customFormat="1" spans="5:6">
      <c r="E520" s="1">
        <f t="shared" si="16"/>
        <v>0</v>
      </c>
      <c r="F520" s="1">
        <f t="shared" si="17"/>
        <v>0</v>
      </c>
    </row>
    <row r="521" s="1" customFormat="1" spans="5:6">
      <c r="E521" s="1">
        <f t="shared" si="16"/>
        <v>0</v>
      </c>
      <c r="F521" s="1">
        <f t="shared" si="17"/>
        <v>0</v>
      </c>
    </row>
    <row r="522" s="1" customFormat="1" spans="5:6">
      <c r="E522" s="1">
        <f t="shared" si="16"/>
        <v>0</v>
      </c>
      <c r="F522" s="1">
        <f t="shared" si="17"/>
        <v>0</v>
      </c>
    </row>
    <row r="523" s="1" customFormat="1" spans="5:6">
      <c r="E523" s="1">
        <f t="shared" si="16"/>
        <v>0</v>
      </c>
      <c r="F523" s="1">
        <f t="shared" si="17"/>
        <v>0</v>
      </c>
    </row>
    <row r="524" s="1" customFormat="1" spans="5:6">
      <c r="E524" s="1">
        <f t="shared" si="16"/>
        <v>0</v>
      </c>
      <c r="F524" s="1">
        <f t="shared" si="17"/>
        <v>0</v>
      </c>
    </row>
    <row r="525" s="1" customFormat="1" spans="5:6">
      <c r="E525" s="1">
        <f t="shared" si="16"/>
        <v>0</v>
      </c>
      <c r="F525" s="1">
        <f t="shared" si="17"/>
        <v>0</v>
      </c>
    </row>
    <row r="526" s="1" customFormat="1" spans="5:6">
      <c r="E526" s="1">
        <f t="shared" si="16"/>
        <v>0</v>
      </c>
      <c r="F526" s="1">
        <f t="shared" si="17"/>
        <v>0</v>
      </c>
    </row>
    <row r="527" s="1" customFormat="1" spans="5:6">
      <c r="E527" s="1">
        <f t="shared" si="16"/>
        <v>0</v>
      </c>
      <c r="F527" s="1">
        <f t="shared" si="17"/>
        <v>0</v>
      </c>
    </row>
    <row r="528" s="1" customFormat="1" spans="5:6">
      <c r="E528" s="1">
        <f t="shared" si="16"/>
        <v>0</v>
      </c>
      <c r="F528" s="1">
        <f t="shared" si="17"/>
        <v>0</v>
      </c>
    </row>
    <row r="529" s="1" customFormat="1" spans="5:6">
      <c r="E529" s="1">
        <f t="shared" si="16"/>
        <v>0</v>
      </c>
      <c r="F529" s="1">
        <f t="shared" si="17"/>
        <v>0</v>
      </c>
    </row>
    <row r="530" s="1" customFormat="1" spans="5:6">
      <c r="E530" s="1">
        <f t="shared" si="16"/>
        <v>0</v>
      </c>
      <c r="F530" s="1">
        <f t="shared" si="17"/>
        <v>0</v>
      </c>
    </row>
    <row r="531" s="1" customFormat="1" spans="5:6">
      <c r="E531" s="1">
        <f t="shared" si="16"/>
        <v>0</v>
      </c>
      <c r="F531" s="1">
        <f t="shared" si="17"/>
        <v>0</v>
      </c>
    </row>
    <row r="532" s="1" customFormat="1" spans="5:6">
      <c r="E532" s="1">
        <f t="shared" si="16"/>
        <v>0</v>
      </c>
      <c r="F532" s="1">
        <f t="shared" si="17"/>
        <v>0</v>
      </c>
    </row>
    <row r="533" s="1" customFormat="1" spans="5:6">
      <c r="E533" s="1">
        <f t="shared" si="16"/>
        <v>0</v>
      </c>
      <c r="F533" s="1">
        <f t="shared" si="17"/>
        <v>0</v>
      </c>
    </row>
    <row r="534" s="1" customFormat="1" spans="5:6">
      <c r="E534" s="1">
        <f t="shared" si="16"/>
        <v>0</v>
      </c>
      <c r="F534" s="1">
        <f t="shared" si="17"/>
        <v>0</v>
      </c>
    </row>
    <row r="535" s="1" customFormat="1" spans="5:6">
      <c r="E535" s="1">
        <f t="shared" si="16"/>
        <v>0</v>
      </c>
      <c r="F535" s="1">
        <f t="shared" si="17"/>
        <v>0</v>
      </c>
    </row>
    <row r="536" s="1" customFormat="1" spans="5:6">
      <c r="E536" s="1">
        <f t="shared" si="16"/>
        <v>0</v>
      </c>
      <c r="F536" s="1">
        <f t="shared" si="17"/>
        <v>0</v>
      </c>
    </row>
    <row r="537" s="1" customFormat="1" spans="5:6">
      <c r="E537" s="1">
        <f t="shared" si="16"/>
        <v>0</v>
      </c>
      <c r="F537" s="1">
        <f t="shared" si="17"/>
        <v>0</v>
      </c>
    </row>
    <row r="538" s="1" customFormat="1" spans="5:6">
      <c r="E538" s="1">
        <f t="shared" si="16"/>
        <v>0</v>
      </c>
      <c r="F538" s="1">
        <f t="shared" si="17"/>
        <v>0</v>
      </c>
    </row>
    <row r="539" s="1" customFormat="1" spans="5:6">
      <c r="E539" s="1">
        <f t="shared" si="16"/>
        <v>0</v>
      </c>
      <c r="F539" s="1">
        <f t="shared" si="17"/>
        <v>0</v>
      </c>
    </row>
    <row r="540" s="1" customFormat="1" spans="5:6">
      <c r="E540" s="1">
        <f t="shared" si="16"/>
        <v>0</v>
      </c>
      <c r="F540" s="1">
        <f t="shared" si="17"/>
        <v>0</v>
      </c>
    </row>
    <row r="541" s="1" customFormat="1" spans="5:6">
      <c r="E541" s="1">
        <f t="shared" si="16"/>
        <v>0</v>
      </c>
      <c r="F541" s="1">
        <f t="shared" si="17"/>
        <v>0</v>
      </c>
    </row>
    <row r="542" s="1" customFormat="1" spans="5:6">
      <c r="E542" s="1">
        <f t="shared" si="16"/>
        <v>0</v>
      </c>
      <c r="F542" s="1">
        <f t="shared" si="17"/>
        <v>0</v>
      </c>
    </row>
    <row r="543" s="1" customFormat="1" spans="5:6">
      <c r="E543" s="1">
        <f t="shared" si="16"/>
        <v>0</v>
      </c>
      <c r="F543" s="1">
        <f t="shared" si="17"/>
        <v>0</v>
      </c>
    </row>
    <row r="544" s="1" customFormat="1" spans="5:6">
      <c r="E544" s="1">
        <f t="shared" si="16"/>
        <v>0</v>
      </c>
      <c r="F544" s="1">
        <f t="shared" si="17"/>
        <v>0</v>
      </c>
    </row>
    <row r="545" s="1" customFormat="1" spans="5:6">
      <c r="E545" s="1">
        <f t="shared" si="16"/>
        <v>0</v>
      </c>
      <c r="F545" s="1">
        <f t="shared" si="17"/>
        <v>0</v>
      </c>
    </row>
    <row r="546" s="1" customFormat="1" spans="5:6">
      <c r="E546" s="1">
        <f t="shared" si="16"/>
        <v>0</v>
      </c>
      <c r="F546" s="1">
        <f t="shared" si="17"/>
        <v>0</v>
      </c>
    </row>
    <row r="547" s="1" customFormat="1" spans="5:6">
      <c r="E547" s="1">
        <f t="shared" si="16"/>
        <v>0</v>
      </c>
      <c r="F547" s="1">
        <f t="shared" si="17"/>
        <v>0</v>
      </c>
    </row>
    <row r="548" s="1" customFormat="1" spans="5:6">
      <c r="E548" s="1">
        <f t="shared" si="16"/>
        <v>0</v>
      </c>
      <c r="F548" s="1">
        <f t="shared" si="17"/>
        <v>0</v>
      </c>
    </row>
    <row r="549" s="1" customFormat="1" spans="5:6">
      <c r="E549" s="1">
        <f t="shared" si="16"/>
        <v>0</v>
      </c>
      <c r="F549" s="1">
        <f t="shared" si="17"/>
        <v>0</v>
      </c>
    </row>
    <row r="550" s="1" customFormat="1" spans="5:6">
      <c r="E550" s="1">
        <f t="shared" si="16"/>
        <v>0</v>
      </c>
      <c r="F550" s="1">
        <f t="shared" si="17"/>
        <v>0</v>
      </c>
    </row>
    <row r="551" s="1" customFormat="1" spans="5:6">
      <c r="E551" s="1">
        <f t="shared" si="16"/>
        <v>0</v>
      </c>
      <c r="F551" s="1">
        <f t="shared" si="17"/>
        <v>0</v>
      </c>
    </row>
    <row r="552" s="1" customFormat="1" spans="5:6">
      <c r="E552" s="1">
        <f t="shared" si="16"/>
        <v>0</v>
      </c>
      <c r="F552" s="1">
        <f t="shared" si="17"/>
        <v>0</v>
      </c>
    </row>
    <row r="553" s="1" customFormat="1" spans="5:6">
      <c r="E553" s="1">
        <f t="shared" si="16"/>
        <v>0</v>
      </c>
      <c r="F553" s="1">
        <f t="shared" si="17"/>
        <v>0</v>
      </c>
    </row>
    <row r="554" s="1" customFormat="1" spans="5:6">
      <c r="E554" s="1">
        <f t="shared" si="16"/>
        <v>0</v>
      </c>
      <c r="F554" s="1">
        <f t="shared" si="17"/>
        <v>0</v>
      </c>
    </row>
    <row r="555" s="1" customFormat="1" spans="5:6">
      <c r="E555" s="1">
        <f t="shared" si="16"/>
        <v>0</v>
      </c>
      <c r="F555" s="1">
        <f t="shared" si="17"/>
        <v>0</v>
      </c>
    </row>
    <row r="556" s="1" customFormat="1" spans="5:6">
      <c r="E556" s="1">
        <f t="shared" si="16"/>
        <v>0</v>
      </c>
      <c r="F556" s="1">
        <f t="shared" si="17"/>
        <v>0</v>
      </c>
    </row>
    <row r="557" s="1" customFormat="1" spans="5:6">
      <c r="E557" s="1">
        <f t="shared" si="16"/>
        <v>0</v>
      </c>
      <c r="F557" s="1">
        <f t="shared" si="17"/>
        <v>0</v>
      </c>
    </row>
    <row r="558" s="1" customFormat="1" spans="5:6">
      <c r="E558" s="1">
        <f t="shared" si="16"/>
        <v>0</v>
      </c>
      <c r="F558" s="1">
        <f t="shared" si="17"/>
        <v>0</v>
      </c>
    </row>
    <row r="559" s="1" customFormat="1" spans="5:6">
      <c r="E559" s="1">
        <f t="shared" si="16"/>
        <v>0</v>
      </c>
      <c r="F559" s="1">
        <f t="shared" si="17"/>
        <v>0</v>
      </c>
    </row>
    <row r="560" s="1" customFormat="1" spans="5:6">
      <c r="E560" s="1">
        <f t="shared" si="16"/>
        <v>0</v>
      </c>
      <c r="F560" s="1">
        <f t="shared" si="17"/>
        <v>0</v>
      </c>
    </row>
    <row r="561" s="1" customFormat="1" spans="5:6">
      <c r="E561" s="1">
        <f t="shared" si="16"/>
        <v>0</v>
      </c>
      <c r="F561" s="1">
        <f t="shared" si="17"/>
        <v>0</v>
      </c>
    </row>
    <row r="562" s="1" customFormat="1" spans="5:6">
      <c r="E562" s="1">
        <f t="shared" si="16"/>
        <v>0</v>
      </c>
      <c r="F562" s="1">
        <f t="shared" si="17"/>
        <v>0</v>
      </c>
    </row>
    <row r="563" s="1" customFormat="1" spans="5:6">
      <c r="E563" s="1">
        <f t="shared" si="16"/>
        <v>0</v>
      </c>
      <c r="F563" s="1">
        <f t="shared" si="17"/>
        <v>0</v>
      </c>
    </row>
    <row r="564" s="1" customFormat="1" spans="5:6">
      <c r="E564" s="1">
        <f t="shared" si="16"/>
        <v>0</v>
      </c>
      <c r="F564" s="1">
        <f t="shared" si="17"/>
        <v>0</v>
      </c>
    </row>
    <row r="565" s="1" customFormat="1" spans="5:6">
      <c r="E565" s="1">
        <f t="shared" si="16"/>
        <v>0</v>
      </c>
      <c r="F565" s="1">
        <f t="shared" si="17"/>
        <v>0</v>
      </c>
    </row>
    <row r="566" s="1" customFormat="1" spans="5:6">
      <c r="E566" s="1">
        <f t="shared" si="16"/>
        <v>0</v>
      </c>
      <c r="F566" s="1">
        <f t="shared" si="17"/>
        <v>0</v>
      </c>
    </row>
    <row r="567" s="1" customFormat="1" spans="5:6">
      <c r="E567" s="1">
        <f t="shared" si="16"/>
        <v>0</v>
      </c>
      <c r="F567" s="1">
        <f t="shared" si="17"/>
        <v>0</v>
      </c>
    </row>
    <row r="568" s="1" customFormat="1" spans="5:6">
      <c r="E568" s="1">
        <f t="shared" si="16"/>
        <v>0</v>
      </c>
      <c r="F568" s="1">
        <f t="shared" si="17"/>
        <v>0</v>
      </c>
    </row>
    <row r="569" s="1" customFormat="1" spans="5:6">
      <c r="E569" s="1">
        <f t="shared" si="16"/>
        <v>0</v>
      </c>
      <c r="F569" s="1">
        <f t="shared" si="17"/>
        <v>0</v>
      </c>
    </row>
    <row r="570" s="1" customFormat="1" spans="5:6">
      <c r="E570" s="1">
        <f t="shared" si="16"/>
        <v>0</v>
      </c>
      <c r="F570" s="1">
        <f t="shared" si="17"/>
        <v>0</v>
      </c>
    </row>
    <row r="571" s="1" customFormat="1" spans="5:6">
      <c r="E571" s="1">
        <f t="shared" si="16"/>
        <v>0</v>
      </c>
      <c r="F571" s="1">
        <f t="shared" si="17"/>
        <v>0</v>
      </c>
    </row>
    <row r="572" s="1" customFormat="1" spans="5:6">
      <c r="E572" s="1">
        <f t="shared" si="16"/>
        <v>0</v>
      </c>
      <c r="F572" s="1">
        <f t="shared" si="17"/>
        <v>0</v>
      </c>
    </row>
    <row r="573" s="1" customFormat="1" spans="5:6">
      <c r="E573" s="1">
        <f t="shared" si="16"/>
        <v>0</v>
      </c>
      <c r="F573" s="1">
        <f t="shared" si="17"/>
        <v>0</v>
      </c>
    </row>
    <row r="574" s="1" customFormat="1" spans="5:6">
      <c r="E574" s="1">
        <f t="shared" si="16"/>
        <v>0</v>
      </c>
      <c r="F574" s="1">
        <f t="shared" si="17"/>
        <v>0</v>
      </c>
    </row>
    <row r="575" s="1" customFormat="1" spans="5:6">
      <c r="E575" s="1">
        <f t="shared" si="16"/>
        <v>0</v>
      </c>
      <c r="F575" s="1">
        <f t="shared" si="17"/>
        <v>0</v>
      </c>
    </row>
    <row r="576" s="1" customFormat="1" spans="5:6">
      <c r="E576" s="1">
        <f t="shared" si="16"/>
        <v>0</v>
      </c>
      <c r="F576" s="1">
        <f t="shared" si="17"/>
        <v>0</v>
      </c>
    </row>
    <row r="577" s="1" customFormat="1" spans="5:6">
      <c r="E577" s="1">
        <f t="shared" si="16"/>
        <v>0</v>
      </c>
      <c r="F577" s="1">
        <f t="shared" si="17"/>
        <v>0</v>
      </c>
    </row>
    <row r="578" s="1" customFormat="1" spans="5:6">
      <c r="E578" s="1">
        <f t="shared" si="16"/>
        <v>0</v>
      </c>
      <c r="F578" s="1">
        <f t="shared" si="17"/>
        <v>0</v>
      </c>
    </row>
    <row r="579" s="1" customFormat="1" spans="5:6">
      <c r="E579" s="1">
        <f t="shared" ref="E579:E642" si="18">IF(B579="买入",C579/D579,IF(B579="卖出",-C579/D579,0))</f>
        <v>0</v>
      </c>
      <c r="F579" s="1">
        <f t="shared" ref="F579:F642" si="19">IF(B579="买入",-C579,IF(B579="卖出",C579,0))</f>
        <v>0</v>
      </c>
    </row>
    <row r="580" s="1" customFormat="1" spans="5:6">
      <c r="E580" s="1">
        <f t="shared" si="18"/>
        <v>0</v>
      </c>
      <c r="F580" s="1">
        <f t="shared" si="19"/>
        <v>0</v>
      </c>
    </row>
    <row r="581" s="1" customFormat="1" spans="5:6">
      <c r="E581" s="1">
        <f t="shared" si="18"/>
        <v>0</v>
      </c>
      <c r="F581" s="1">
        <f t="shared" si="19"/>
        <v>0</v>
      </c>
    </row>
    <row r="582" s="1" customFormat="1" spans="5:6">
      <c r="E582" s="1">
        <f t="shared" si="18"/>
        <v>0</v>
      </c>
      <c r="F582" s="1">
        <f t="shared" si="19"/>
        <v>0</v>
      </c>
    </row>
    <row r="583" s="1" customFormat="1" spans="5:6">
      <c r="E583" s="1">
        <f t="shared" si="18"/>
        <v>0</v>
      </c>
      <c r="F583" s="1">
        <f t="shared" si="19"/>
        <v>0</v>
      </c>
    </row>
    <row r="584" s="1" customFormat="1" spans="5:6">
      <c r="E584" s="1">
        <f t="shared" si="18"/>
        <v>0</v>
      </c>
      <c r="F584" s="1">
        <f t="shared" si="19"/>
        <v>0</v>
      </c>
    </row>
    <row r="585" s="1" customFormat="1" spans="5:6">
      <c r="E585" s="1">
        <f t="shared" si="18"/>
        <v>0</v>
      </c>
      <c r="F585" s="1">
        <f t="shared" si="19"/>
        <v>0</v>
      </c>
    </row>
    <row r="586" s="1" customFormat="1" spans="5:6">
      <c r="E586" s="1">
        <f t="shared" si="18"/>
        <v>0</v>
      </c>
      <c r="F586" s="1">
        <f t="shared" si="19"/>
        <v>0</v>
      </c>
    </row>
    <row r="587" s="1" customFormat="1" spans="5:6">
      <c r="E587" s="1">
        <f t="shared" si="18"/>
        <v>0</v>
      </c>
      <c r="F587" s="1">
        <f t="shared" si="19"/>
        <v>0</v>
      </c>
    </row>
    <row r="588" s="1" customFormat="1" spans="5:6">
      <c r="E588" s="1">
        <f t="shared" si="18"/>
        <v>0</v>
      </c>
      <c r="F588" s="1">
        <f t="shared" si="19"/>
        <v>0</v>
      </c>
    </row>
    <row r="589" s="1" customFormat="1" spans="5:6">
      <c r="E589" s="1">
        <f t="shared" si="18"/>
        <v>0</v>
      </c>
      <c r="F589" s="1">
        <f t="shared" si="19"/>
        <v>0</v>
      </c>
    </row>
    <row r="590" s="1" customFormat="1" spans="5:6">
      <c r="E590" s="1">
        <f t="shared" si="18"/>
        <v>0</v>
      </c>
      <c r="F590" s="1">
        <f t="shared" si="19"/>
        <v>0</v>
      </c>
    </row>
    <row r="591" s="1" customFormat="1" spans="5:6">
      <c r="E591" s="1">
        <f t="shared" si="18"/>
        <v>0</v>
      </c>
      <c r="F591" s="1">
        <f t="shared" si="19"/>
        <v>0</v>
      </c>
    </row>
    <row r="592" s="1" customFormat="1" spans="5:6">
      <c r="E592" s="1">
        <f t="shared" si="18"/>
        <v>0</v>
      </c>
      <c r="F592" s="1">
        <f t="shared" si="19"/>
        <v>0</v>
      </c>
    </row>
    <row r="593" s="1" customFormat="1" spans="5:6">
      <c r="E593" s="1">
        <f t="shared" si="18"/>
        <v>0</v>
      </c>
      <c r="F593" s="1">
        <f t="shared" si="19"/>
        <v>0</v>
      </c>
    </row>
    <row r="594" s="1" customFormat="1" spans="5:6">
      <c r="E594" s="1">
        <f t="shared" si="18"/>
        <v>0</v>
      </c>
      <c r="F594" s="1">
        <f t="shared" si="19"/>
        <v>0</v>
      </c>
    </row>
    <row r="595" s="1" customFormat="1" spans="5:6">
      <c r="E595" s="1">
        <f t="shared" si="18"/>
        <v>0</v>
      </c>
      <c r="F595" s="1">
        <f t="shared" si="19"/>
        <v>0</v>
      </c>
    </row>
    <row r="596" s="1" customFormat="1" spans="5:6">
      <c r="E596" s="1">
        <f t="shared" si="18"/>
        <v>0</v>
      </c>
      <c r="F596" s="1">
        <f t="shared" si="19"/>
        <v>0</v>
      </c>
    </row>
    <row r="597" s="1" customFormat="1" spans="5:6">
      <c r="E597" s="1">
        <f t="shared" si="18"/>
        <v>0</v>
      </c>
      <c r="F597" s="1">
        <f t="shared" si="19"/>
        <v>0</v>
      </c>
    </row>
    <row r="598" s="1" customFormat="1" spans="5:6">
      <c r="E598" s="1">
        <f t="shared" si="18"/>
        <v>0</v>
      </c>
      <c r="F598" s="1">
        <f t="shared" si="19"/>
        <v>0</v>
      </c>
    </row>
    <row r="599" s="1" customFormat="1" spans="5:6">
      <c r="E599" s="1">
        <f t="shared" si="18"/>
        <v>0</v>
      </c>
      <c r="F599" s="1">
        <f t="shared" si="19"/>
        <v>0</v>
      </c>
    </row>
    <row r="600" s="1" customFormat="1" spans="5:6">
      <c r="E600" s="1">
        <f t="shared" si="18"/>
        <v>0</v>
      </c>
      <c r="F600" s="1">
        <f t="shared" si="19"/>
        <v>0</v>
      </c>
    </row>
    <row r="601" s="1" customFormat="1" spans="5:6">
      <c r="E601" s="1">
        <f t="shared" si="18"/>
        <v>0</v>
      </c>
      <c r="F601" s="1">
        <f t="shared" si="19"/>
        <v>0</v>
      </c>
    </row>
    <row r="602" s="1" customFormat="1" spans="5:6">
      <c r="E602" s="1">
        <f t="shared" si="18"/>
        <v>0</v>
      </c>
      <c r="F602" s="1">
        <f t="shared" si="19"/>
        <v>0</v>
      </c>
    </row>
    <row r="603" s="1" customFormat="1" spans="5:6">
      <c r="E603" s="1">
        <f t="shared" si="18"/>
        <v>0</v>
      </c>
      <c r="F603" s="1">
        <f t="shared" si="19"/>
        <v>0</v>
      </c>
    </row>
    <row r="604" s="1" customFormat="1" spans="5:6">
      <c r="E604" s="1">
        <f t="shared" si="18"/>
        <v>0</v>
      </c>
      <c r="F604" s="1">
        <f t="shared" si="19"/>
        <v>0</v>
      </c>
    </row>
    <row r="605" s="1" customFormat="1" spans="5:6">
      <c r="E605" s="1">
        <f t="shared" si="18"/>
        <v>0</v>
      </c>
      <c r="F605" s="1">
        <f t="shared" si="19"/>
        <v>0</v>
      </c>
    </row>
    <row r="606" s="1" customFormat="1" spans="5:6">
      <c r="E606" s="1">
        <f t="shared" si="18"/>
        <v>0</v>
      </c>
      <c r="F606" s="1">
        <f t="shared" si="19"/>
        <v>0</v>
      </c>
    </row>
    <row r="607" s="1" customFormat="1" spans="5:6">
      <c r="E607" s="1">
        <f t="shared" si="18"/>
        <v>0</v>
      </c>
      <c r="F607" s="1">
        <f t="shared" si="19"/>
        <v>0</v>
      </c>
    </row>
    <row r="608" s="1" customFormat="1" spans="5:6">
      <c r="E608" s="1">
        <f t="shared" si="18"/>
        <v>0</v>
      </c>
      <c r="F608" s="1">
        <f t="shared" si="19"/>
        <v>0</v>
      </c>
    </row>
    <row r="609" s="1" customFormat="1" spans="5:6">
      <c r="E609" s="1">
        <f t="shared" si="18"/>
        <v>0</v>
      </c>
      <c r="F609" s="1">
        <f t="shared" si="19"/>
        <v>0</v>
      </c>
    </row>
    <row r="610" s="1" customFormat="1" spans="5:6">
      <c r="E610" s="1">
        <f t="shared" si="18"/>
        <v>0</v>
      </c>
      <c r="F610" s="1">
        <f t="shared" si="19"/>
        <v>0</v>
      </c>
    </row>
    <row r="611" s="1" customFormat="1" spans="5:6">
      <c r="E611" s="1">
        <f t="shared" si="18"/>
        <v>0</v>
      </c>
      <c r="F611" s="1">
        <f t="shared" si="19"/>
        <v>0</v>
      </c>
    </row>
    <row r="612" s="1" customFormat="1" spans="5:6">
      <c r="E612" s="1">
        <f t="shared" si="18"/>
        <v>0</v>
      </c>
      <c r="F612" s="1">
        <f t="shared" si="19"/>
        <v>0</v>
      </c>
    </row>
    <row r="613" s="1" customFormat="1" spans="5:6">
      <c r="E613" s="1">
        <f t="shared" si="18"/>
        <v>0</v>
      </c>
      <c r="F613" s="1">
        <f t="shared" si="19"/>
        <v>0</v>
      </c>
    </row>
    <row r="614" s="1" customFormat="1" spans="5:6">
      <c r="E614" s="1">
        <f t="shared" si="18"/>
        <v>0</v>
      </c>
      <c r="F614" s="1">
        <f t="shared" si="19"/>
        <v>0</v>
      </c>
    </row>
    <row r="615" s="1" customFormat="1" spans="5:6">
      <c r="E615" s="1">
        <f t="shared" si="18"/>
        <v>0</v>
      </c>
      <c r="F615" s="1">
        <f t="shared" si="19"/>
        <v>0</v>
      </c>
    </row>
    <row r="616" s="1" customFormat="1" spans="5:6">
      <c r="E616" s="1">
        <f t="shared" si="18"/>
        <v>0</v>
      </c>
      <c r="F616" s="1">
        <f t="shared" si="19"/>
        <v>0</v>
      </c>
    </row>
    <row r="617" s="1" customFormat="1" spans="5:6">
      <c r="E617" s="1">
        <f t="shared" si="18"/>
        <v>0</v>
      </c>
      <c r="F617" s="1">
        <f t="shared" si="19"/>
        <v>0</v>
      </c>
    </row>
    <row r="618" s="1" customFormat="1" spans="5:6">
      <c r="E618" s="1">
        <f t="shared" si="18"/>
        <v>0</v>
      </c>
      <c r="F618" s="1">
        <f t="shared" si="19"/>
        <v>0</v>
      </c>
    </row>
    <row r="619" s="1" customFormat="1" spans="5:6">
      <c r="E619" s="1">
        <f t="shared" si="18"/>
        <v>0</v>
      </c>
      <c r="F619" s="1">
        <f t="shared" si="19"/>
        <v>0</v>
      </c>
    </row>
    <row r="620" s="1" customFormat="1" spans="5:6">
      <c r="E620" s="1">
        <f t="shared" si="18"/>
        <v>0</v>
      </c>
      <c r="F620" s="1">
        <f t="shared" si="19"/>
        <v>0</v>
      </c>
    </row>
    <row r="621" s="1" customFormat="1" spans="5:6">
      <c r="E621" s="1">
        <f t="shared" si="18"/>
        <v>0</v>
      </c>
      <c r="F621" s="1">
        <f t="shared" si="19"/>
        <v>0</v>
      </c>
    </row>
    <row r="622" s="1" customFormat="1" spans="5:6">
      <c r="E622" s="1">
        <f t="shared" si="18"/>
        <v>0</v>
      </c>
      <c r="F622" s="1">
        <f t="shared" si="19"/>
        <v>0</v>
      </c>
    </row>
    <row r="623" s="1" customFormat="1" spans="5:6">
      <c r="E623" s="1">
        <f t="shared" si="18"/>
        <v>0</v>
      </c>
      <c r="F623" s="1">
        <f t="shared" si="19"/>
        <v>0</v>
      </c>
    </row>
    <row r="624" s="1" customFormat="1" spans="5:6">
      <c r="E624" s="1">
        <f t="shared" si="18"/>
        <v>0</v>
      </c>
      <c r="F624" s="1">
        <f t="shared" si="19"/>
        <v>0</v>
      </c>
    </row>
    <row r="625" s="1" customFormat="1" spans="5:6">
      <c r="E625" s="1">
        <f t="shared" si="18"/>
        <v>0</v>
      </c>
      <c r="F625" s="1">
        <f t="shared" si="19"/>
        <v>0</v>
      </c>
    </row>
    <row r="626" s="1" customFormat="1" spans="5:6">
      <c r="E626" s="1">
        <f t="shared" si="18"/>
        <v>0</v>
      </c>
      <c r="F626" s="1">
        <f t="shared" si="19"/>
        <v>0</v>
      </c>
    </row>
    <row r="627" s="1" customFormat="1" spans="5:6">
      <c r="E627" s="1">
        <f t="shared" si="18"/>
        <v>0</v>
      </c>
      <c r="F627" s="1">
        <f t="shared" si="19"/>
        <v>0</v>
      </c>
    </row>
    <row r="628" s="1" customFormat="1" spans="5:6">
      <c r="E628" s="1">
        <f t="shared" si="18"/>
        <v>0</v>
      </c>
      <c r="F628" s="1">
        <f t="shared" si="19"/>
        <v>0</v>
      </c>
    </row>
    <row r="629" s="1" customFormat="1" spans="5:6">
      <c r="E629" s="1">
        <f t="shared" si="18"/>
        <v>0</v>
      </c>
      <c r="F629" s="1">
        <f t="shared" si="19"/>
        <v>0</v>
      </c>
    </row>
    <row r="630" s="1" customFormat="1" spans="5:6">
      <c r="E630" s="1">
        <f t="shared" si="18"/>
        <v>0</v>
      </c>
      <c r="F630" s="1">
        <f t="shared" si="19"/>
        <v>0</v>
      </c>
    </row>
    <row r="631" s="1" customFormat="1" spans="5:6">
      <c r="E631" s="1">
        <f t="shared" si="18"/>
        <v>0</v>
      </c>
      <c r="F631" s="1">
        <f t="shared" si="19"/>
        <v>0</v>
      </c>
    </row>
    <row r="632" s="1" customFormat="1" spans="5:6">
      <c r="E632" s="1">
        <f t="shared" si="18"/>
        <v>0</v>
      </c>
      <c r="F632" s="1">
        <f t="shared" si="19"/>
        <v>0</v>
      </c>
    </row>
    <row r="633" s="1" customFormat="1" spans="5:6">
      <c r="E633" s="1">
        <f t="shared" si="18"/>
        <v>0</v>
      </c>
      <c r="F633" s="1">
        <f t="shared" si="19"/>
        <v>0</v>
      </c>
    </row>
    <row r="634" s="1" customFormat="1" spans="5:6">
      <c r="E634" s="1">
        <f t="shared" si="18"/>
        <v>0</v>
      </c>
      <c r="F634" s="1">
        <f t="shared" si="19"/>
        <v>0</v>
      </c>
    </row>
    <row r="635" s="1" customFormat="1" spans="5:6">
      <c r="E635" s="1">
        <f t="shared" si="18"/>
        <v>0</v>
      </c>
      <c r="F635" s="1">
        <f t="shared" si="19"/>
        <v>0</v>
      </c>
    </row>
    <row r="636" s="1" customFormat="1" spans="5:6">
      <c r="E636" s="1">
        <f t="shared" si="18"/>
        <v>0</v>
      </c>
      <c r="F636" s="1">
        <f t="shared" si="19"/>
        <v>0</v>
      </c>
    </row>
    <row r="637" s="1" customFormat="1" spans="5:6">
      <c r="E637" s="1">
        <f t="shared" si="18"/>
        <v>0</v>
      </c>
      <c r="F637" s="1">
        <f t="shared" si="19"/>
        <v>0</v>
      </c>
    </row>
    <row r="638" s="1" customFormat="1" spans="5:6">
      <c r="E638" s="1">
        <f t="shared" si="18"/>
        <v>0</v>
      </c>
      <c r="F638" s="1">
        <f t="shared" si="19"/>
        <v>0</v>
      </c>
    </row>
    <row r="639" s="1" customFormat="1" spans="5:6">
      <c r="E639" s="1">
        <f t="shared" si="18"/>
        <v>0</v>
      </c>
      <c r="F639" s="1">
        <f t="shared" si="19"/>
        <v>0</v>
      </c>
    </row>
    <row r="640" s="1" customFormat="1" spans="5:6">
      <c r="E640" s="1">
        <f t="shared" si="18"/>
        <v>0</v>
      </c>
      <c r="F640" s="1">
        <f t="shared" si="19"/>
        <v>0</v>
      </c>
    </row>
    <row r="641" s="1" customFormat="1" spans="5:6">
      <c r="E641" s="1">
        <f t="shared" si="18"/>
        <v>0</v>
      </c>
      <c r="F641" s="1">
        <f t="shared" si="19"/>
        <v>0</v>
      </c>
    </row>
    <row r="642" s="1" customFormat="1" spans="5:6">
      <c r="E642" s="1">
        <f t="shared" si="18"/>
        <v>0</v>
      </c>
      <c r="F642" s="1">
        <f t="shared" si="19"/>
        <v>0</v>
      </c>
    </row>
    <row r="643" s="1" customFormat="1" spans="5:6">
      <c r="E643" s="1">
        <f t="shared" ref="E643:E706" si="20">IF(B643="买入",C643/D643,IF(B643="卖出",-C643/D643,0))</f>
        <v>0</v>
      </c>
      <c r="F643" s="1">
        <f t="shared" ref="F643:F706" si="21">IF(B643="买入",-C643,IF(B643="卖出",C643,0))</f>
        <v>0</v>
      </c>
    </row>
    <row r="644" s="1" customFormat="1" spans="5:6">
      <c r="E644" s="1">
        <f t="shared" si="20"/>
        <v>0</v>
      </c>
      <c r="F644" s="1">
        <f t="shared" si="21"/>
        <v>0</v>
      </c>
    </row>
    <row r="645" s="1" customFormat="1" spans="5:6">
      <c r="E645" s="1">
        <f t="shared" si="20"/>
        <v>0</v>
      </c>
      <c r="F645" s="1">
        <f t="shared" si="21"/>
        <v>0</v>
      </c>
    </row>
    <row r="646" s="1" customFormat="1" spans="5:6">
      <c r="E646" s="1">
        <f t="shared" si="20"/>
        <v>0</v>
      </c>
      <c r="F646" s="1">
        <f t="shared" si="21"/>
        <v>0</v>
      </c>
    </row>
    <row r="647" s="1" customFormat="1" spans="5:6">
      <c r="E647" s="1">
        <f t="shared" si="20"/>
        <v>0</v>
      </c>
      <c r="F647" s="1">
        <f t="shared" si="21"/>
        <v>0</v>
      </c>
    </row>
    <row r="648" s="1" customFormat="1" spans="5:6">
      <c r="E648" s="1">
        <f t="shared" si="20"/>
        <v>0</v>
      </c>
      <c r="F648" s="1">
        <f t="shared" si="21"/>
        <v>0</v>
      </c>
    </row>
    <row r="649" s="1" customFormat="1" spans="5:6">
      <c r="E649" s="1">
        <f t="shared" si="20"/>
        <v>0</v>
      </c>
      <c r="F649" s="1">
        <f t="shared" si="21"/>
        <v>0</v>
      </c>
    </row>
    <row r="650" s="1" customFormat="1" spans="5:6">
      <c r="E650" s="1">
        <f t="shared" si="20"/>
        <v>0</v>
      </c>
      <c r="F650" s="1">
        <f t="shared" si="21"/>
        <v>0</v>
      </c>
    </row>
    <row r="651" s="1" customFormat="1" spans="5:6">
      <c r="E651" s="1">
        <f t="shared" si="20"/>
        <v>0</v>
      </c>
      <c r="F651" s="1">
        <f t="shared" si="21"/>
        <v>0</v>
      </c>
    </row>
    <row r="652" s="1" customFormat="1" spans="5:6">
      <c r="E652" s="1">
        <f t="shared" si="20"/>
        <v>0</v>
      </c>
      <c r="F652" s="1">
        <f t="shared" si="21"/>
        <v>0</v>
      </c>
    </row>
    <row r="653" s="1" customFormat="1" spans="5:6">
      <c r="E653" s="1">
        <f t="shared" si="20"/>
        <v>0</v>
      </c>
      <c r="F653" s="1">
        <f t="shared" si="21"/>
        <v>0</v>
      </c>
    </row>
    <row r="654" s="1" customFormat="1" spans="5:6">
      <c r="E654" s="1">
        <f t="shared" si="20"/>
        <v>0</v>
      </c>
      <c r="F654" s="1">
        <f t="shared" si="21"/>
        <v>0</v>
      </c>
    </row>
    <row r="655" s="1" customFormat="1" spans="5:6">
      <c r="E655" s="1">
        <f t="shared" si="20"/>
        <v>0</v>
      </c>
      <c r="F655" s="1">
        <f t="shared" si="21"/>
        <v>0</v>
      </c>
    </row>
    <row r="656" s="1" customFormat="1" spans="5:6">
      <c r="E656" s="1">
        <f t="shared" si="20"/>
        <v>0</v>
      </c>
      <c r="F656" s="1">
        <f t="shared" si="21"/>
        <v>0</v>
      </c>
    </row>
    <row r="657" s="1" customFormat="1" spans="5:6">
      <c r="E657" s="1">
        <f t="shared" si="20"/>
        <v>0</v>
      </c>
      <c r="F657" s="1">
        <f t="shared" si="21"/>
        <v>0</v>
      </c>
    </row>
    <row r="658" s="1" customFormat="1" spans="5:6">
      <c r="E658" s="1">
        <f t="shared" si="20"/>
        <v>0</v>
      </c>
      <c r="F658" s="1">
        <f t="shared" si="21"/>
        <v>0</v>
      </c>
    </row>
    <row r="659" s="1" customFormat="1" spans="5:6">
      <c r="E659" s="1">
        <f t="shared" si="20"/>
        <v>0</v>
      </c>
      <c r="F659" s="1">
        <f t="shared" si="21"/>
        <v>0</v>
      </c>
    </row>
    <row r="660" s="1" customFormat="1" spans="5:6">
      <c r="E660" s="1">
        <f t="shared" si="20"/>
        <v>0</v>
      </c>
      <c r="F660" s="1">
        <f t="shared" si="21"/>
        <v>0</v>
      </c>
    </row>
    <row r="661" s="1" customFormat="1" spans="5:6">
      <c r="E661" s="1">
        <f t="shared" si="20"/>
        <v>0</v>
      </c>
      <c r="F661" s="1">
        <f t="shared" si="21"/>
        <v>0</v>
      </c>
    </row>
    <row r="662" s="1" customFormat="1" spans="5:6">
      <c r="E662" s="1">
        <f t="shared" si="20"/>
        <v>0</v>
      </c>
      <c r="F662" s="1">
        <f t="shared" si="21"/>
        <v>0</v>
      </c>
    </row>
    <row r="663" s="1" customFormat="1" spans="5:6">
      <c r="E663" s="1">
        <f t="shared" si="20"/>
        <v>0</v>
      </c>
      <c r="F663" s="1">
        <f t="shared" si="21"/>
        <v>0</v>
      </c>
    </row>
    <row r="664" s="1" customFormat="1" spans="5:6">
      <c r="E664" s="1">
        <f t="shared" si="20"/>
        <v>0</v>
      </c>
      <c r="F664" s="1">
        <f t="shared" si="21"/>
        <v>0</v>
      </c>
    </row>
    <row r="665" s="1" customFormat="1" spans="5:6">
      <c r="E665" s="1">
        <f t="shared" si="20"/>
        <v>0</v>
      </c>
      <c r="F665" s="1">
        <f t="shared" si="21"/>
        <v>0</v>
      </c>
    </row>
    <row r="666" s="1" customFormat="1" spans="5:6">
      <c r="E666" s="1">
        <f t="shared" si="20"/>
        <v>0</v>
      </c>
      <c r="F666" s="1">
        <f t="shared" si="21"/>
        <v>0</v>
      </c>
    </row>
    <row r="667" s="1" customFormat="1" spans="5:6">
      <c r="E667" s="1">
        <f t="shared" si="20"/>
        <v>0</v>
      </c>
      <c r="F667" s="1">
        <f t="shared" si="21"/>
        <v>0</v>
      </c>
    </row>
    <row r="668" s="1" customFormat="1" spans="5:6">
      <c r="E668" s="1">
        <f t="shared" si="20"/>
        <v>0</v>
      </c>
      <c r="F668" s="1">
        <f t="shared" si="21"/>
        <v>0</v>
      </c>
    </row>
    <row r="669" s="1" customFormat="1" spans="5:6">
      <c r="E669" s="1">
        <f t="shared" si="20"/>
        <v>0</v>
      </c>
      <c r="F669" s="1">
        <f t="shared" si="21"/>
        <v>0</v>
      </c>
    </row>
    <row r="670" s="1" customFormat="1" spans="5:6">
      <c r="E670" s="1">
        <f t="shared" si="20"/>
        <v>0</v>
      </c>
      <c r="F670" s="1">
        <f t="shared" si="21"/>
        <v>0</v>
      </c>
    </row>
    <row r="671" s="1" customFormat="1" spans="5:6">
      <c r="E671" s="1">
        <f t="shared" si="20"/>
        <v>0</v>
      </c>
      <c r="F671" s="1">
        <f t="shared" si="21"/>
        <v>0</v>
      </c>
    </row>
    <row r="672" s="1" customFormat="1" spans="5:6">
      <c r="E672" s="1">
        <f t="shared" si="20"/>
        <v>0</v>
      </c>
      <c r="F672" s="1">
        <f t="shared" si="21"/>
        <v>0</v>
      </c>
    </row>
    <row r="673" s="1" customFormat="1" spans="5:6">
      <c r="E673" s="1">
        <f t="shared" si="20"/>
        <v>0</v>
      </c>
      <c r="F673" s="1">
        <f t="shared" si="21"/>
        <v>0</v>
      </c>
    </row>
    <row r="674" s="1" customFormat="1" spans="5:6">
      <c r="E674" s="1">
        <f t="shared" si="20"/>
        <v>0</v>
      </c>
      <c r="F674" s="1">
        <f t="shared" si="21"/>
        <v>0</v>
      </c>
    </row>
    <row r="675" s="1" customFormat="1" spans="5:6">
      <c r="E675" s="1">
        <f t="shared" si="20"/>
        <v>0</v>
      </c>
      <c r="F675" s="1">
        <f t="shared" si="21"/>
        <v>0</v>
      </c>
    </row>
    <row r="676" s="1" customFormat="1" spans="5:6">
      <c r="E676" s="1">
        <f t="shared" si="20"/>
        <v>0</v>
      </c>
      <c r="F676" s="1">
        <f t="shared" si="21"/>
        <v>0</v>
      </c>
    </row>
    <row r="677" s="1" customFormat="1" spans="5:6">
      <c r="E677" s="1">
        <f t="shared" si="20"/>
        <v>0</v>
      </c>
      <c r="F677" s="1">
        <f t="shared" si="21"/>
        <v>0</v>
      </c>
    </row>
    <row r="678" s="1" customFormat="1" spans="5:6">
      <c r="E678" s="1">
        <f t="shared" si="20"/>
        <v>0</v>
      </c>
      <c r="F678" s="1">
        <f t="shared" si="21"/>
        <v>0</v>
      </c>
    </row>
    <row r="679" s="1" customFormat="1" spans="5:6">
      <c r="E679" s="1">
        <f t="shared" si="20"/>
        <v>0</v>
      </c>
      <c r="F679" s="1">
        <f t="shared" si="21"/>
        <v>0</v>
      </c>
    </row>
    <row r="680" s="1" customFormat="1" spans="5:6">
      <c r="E680" s="1">
        <f t="shared" si="20"/>
        <v>0</v>
      </c>
      <c r="F680" s="1">
        <f t="shared" si="21"/>
        <v>0</v>
      </c>
    </row>
    <row r="681" s="1" customFormat="1" spans="5:6">
      <c r="E681" s="1">
        <f t="shared" si="20"/>
        <v>0</v>
      </c>
      <c r="F681" s="1">
        <f t="shared" si="21"/>
        <v>0</v>
      </c>
    </row>
    <row r="682" s="1" customFormat="1" spans="5:6">
      <c r="E682" s="1">
        <f t="shared" si="20"/>
        <v>0</v>
      </c>
      <c r="F682" s="1">
        <f t="shared" si="21"/>
        <v>0</v>
      </c>
    </row>
    <row r="683" s="1" customFormat="1" spans="5:6">
      <c r="E683" s="1">
        <f t="shared" si="20"/>
        <v>0</v>
      </c>
      <c r="F683" s="1">
        <f t="shared" si="21"/>
        <v>0</v>
      </c>
    </row>
    <row r="684" s="1" customFormat="1" spans="5:6">
      <c r="E684" s="1">
        <f t="shared" si="20"/>
        <v>0</v>
      </c>
      <c r="F684" s="1">
        <f t="shared" si="21"/>
        <v>0</v>
      </c>
    </row>
    <row r="685" s="1" customFormat="1" spans="5:6">
      <c r="E685" s="1">
        <f t="shared" si="20"/>
        <v>0</v>
      </c>
      <c r="F685" s="1">
        <f t="shared" si="21"/>
        <v>0</v>
      </c>
    </row>
    <row r="686" s="1" customFormat="1" spans="5:6">
      <c r="E686" s="1">
        <f t="shared" si="20"/>
        <v>0</v>
      </c>
      <c r="F686" s="1">
        <f t="shared" si="21"/>
        <v>0</v>
      </c>
    </row>
    <row r="687" s="1" customFormat="1" spans="5:6">
      <c r="E687" s="1">
        <f t="shared" si="20"/>
        <v>0</v>
      </c>
      <c r="F687" s="1">
        <f t="shared" si="21"/>
        <v>0</v>
      </c>
    </row>
    <row r="688" s="1" customFormat="1" spans="5:6">
      <c r="E688" s="1">
        <f t="shared" si="20"/>
        <v>0</v>
      </c>
      <c r="F688" s="1">
        <f t="shared" si="21"/>
        <v>0</v>
      </c>
    </row>
    <row r="689" s="1" customFormat="1" spans="5:6">
      <c r="E689" s="1">
        <f t="shared" si="20"/>
        <v>0</v>
      </c>
      <c r="F689" s="1">
        <f t="shared" si="21"/>
        <v>0</v>
      </c>
    </row>
    <row r="690" s="1" customFormat="1" spans="5:6">
      <c r="E690" s="1">
        <f t="shared" si="20"/>
        <v>0</v>
      </c>
      <c r="F690" s="1">
        <f t="shared" si="21"/>
        <v>0</v>
      </c>
    </row>
    <row r="691" s="1" customFormat="1" spans="5:6">
      <c r="E691" s="1">
        <f t="shared" si="20"/>
        <v>0</v>
      </c>
      <c r="F691" s="1">
        <f t="shared" si="21"/>
        <v>0</v>
      </c>
    </row>
    <row r="692" s="1" customFormat="1" spans="5:6">
      <c r="E692" s="1">
        <f t="shared" si="20"/>
        <v>0</v>
      </c>
      <c r="F692" s="1">
        <f t="shared" si="21"/>
        <v>0</v>
      </c>
    </row>
    <row r="693" s="1" customFormat="1" spans="5:6">
      <c r="E693" s="1">
        <f t="shared" si="20"/>
        <v>0</v>
      </c>
      <c r="F693" s="1">
        <f t="shared" si="21"/>
        <v>0</v>
      </c>
    </row>
    <row r="694" s="1" customFormat="1" spans="5:6">
      <c r="E694" s="1">
        <f t="shared" si="20"/>
        <v>0</v>
      </c>
      <c r="F694" s="1">
        <f t="shared" si="21"/>
        <v>0</v>
      </c>
    </row>
    <row r="695" s="1" customFormat="1" spans="5:6">
      <c r="E695" s="1">
        <f t="shared" si="20"/>
        <v>0</v>
      </c>
      <c r="F695" s="1">
        <f t="shared" si="21"/>
        <v>0</v>
      </c>
    </row>
    <row r="696" s="1" customFormat="1" spans="5:6">
      <c r="E696" s="1">
        <f t="shared" si="20"/>
        <v>0</v>
      </c>
      <c r="F696" s="1">
        <f t="shared" si="21"/>
        <v>0</v>
      </c>
    </row>
    <row r="697" s="1" customFormat="1" spans="5:6">
      <c r="E697" s="1">
        <f t="shared" si="20"/>
        <v>0</v>
      </c>
      <c r="F697" s="1">
        <f t="shared" si="21"/>
        <v>0</v>
      </c>
    </row>
    <row r="698" s="1" customFormat="1" spans="5:6">
      <c r="E698" s="1">
        <f t="shared" si="20"/>
        <v>0</v>
      </c>
      <c r="F698" s="1">
        <f t="shared" si="21"/>
        <v>0</v>
      </c>
    </row>
    <row r="699" s="1" customFormat="1" spans="5:6">
      <c r="E699" s="1">
        <f t="shared" si="20"/>
        <v>0</v>
      </c>
      <c r="F699" s="1">
        <f t="shared" si="21"/>
        <v>0</v>
      </c>
    </row>
    <row r="700" s="1" customFormat="1" spans="5:6">
      <c r="E700" s="1">
        <f t="shared" si="20"/>
        <v>0</v>
      </c>
      <c r="F700" s="1">
        <f t="shared" si="21"/>
        <v>0</v>
      </c>
    </row>
    <row r="701" s="1" customFormat="1" spans="5:6">
      <c r="E701" s="1">
        <f t="shared" si="20"/>
        <v>0</v>
      </c>
      <c r="F701" s="1">
        <f t="shared" si="21"/>
        <v>0</v>
      </c>
    </row>
    <row r="702" s="1" customFormat="1" spans="5:6">
      <c r="E702" s="1">
        <f t="shared" si="20"/>
        <v>0</v>
      </c>
      <c r="F702" s="1">
        <f t="shared" si="21"/>
        <v>0</v>
      </c>
    </row>
    <row r="703" s="1" customFormat="1" spans="5:6">
      <c r="E703" s="1">
        <f t="shared" si="20"/>
        <v>0</v>
      </c>
      <c r="F703" s="1">
        <f t="shared" si="21"/>
        <v>0</v>
      </c>
    </row>
    <row r="704" s="1" customFormat="1" spans="5:6">
      <c r="E704" s="1">
        <f t="shared" si="20"/>
        <v>0</v>
      </c>
      <c r="F704" s="1">
        <f t="shared" si="21"/>
        <v>0</v>
      </c>
    </row>
    <row r="705" s="1" customFormat="1" spans="5:6">
      <c r="E705" s="1">
        <f t="shared" si="20"/>
        <v>0</v>
      </c>
      <c r="F705" s="1">
        <f t="shared" si="21"/>
        <v>0</v>
      </c>
    </row>
    <row r="706" s="1" customFormat="1" spans="5:6">
      <c r="E706" s="1">
        <f t="shared" si="20"/>
        <v>0</v>
      </c>
      <c r="F706" s="1">
        <f t="shared" si="21"/>
        <v>0</v>
      </c>
    </row>
    <row r="707" s="1" customFormat="1" spans="5:6">
      <c r="E707" s="1">
        <f t="shared" ref="E707:E770" si="22">IF(B707="买入",C707/D707,IF(B707="卖出",-C707/D707,0))</f>
        <v>0</v>
      </c>
      <c r="F707" s="1">
        <f t="shared" ref="F707:F770" si="23">IF(B707="买入",-C707,IF(B707="卖出",C707,0))</f>
        <v>0</v>
      </c>
    </row>
    <row r="708" s="1" customFormat="1" spans="5:6">
      <c r="E708" s="1">
        <f t="shared" si="22"/>
        <v>0</v>
      </c>
      <c r="F708" s="1">
        <f t="shared" si="23"/>
        <v>0</v>
      </c>
    </row>
    <row r="709" s="1" customFormat="1" spans="5:6">
      <c r="E709" s="1">
        <f t="shared" si="22"/>
        <v>0</v>
      </c>
      <c r="F709" s="1">
        <f t="shared" si="23"/>
        <v>0</v>
      </c>
    </row>
    <row r="710" s="1" customFormat="1" spans="5:6">
      <c r="E710" s="1">
        <f t="shared" si="22"/>
        <v>0</v>
      </c>
      <c r="F710" s="1">
        <f t="shared" si="23"/>
        <v>0</v>
      </c>
    </row>
    <row r="711" s="1" customFormat="1" spans="5:6">
      <c r="E711" s="1">
        <f t="shared" si="22"/>
        <v>0</v>
      </c>
      <c r="F711" s="1">
        <f t="shared" si="23"/>
        <v>0</v>
      </c>
    </row>
    <row r="712" s="1" customFormat="1" spans="5:6">
      <c r="E712" s="1">
        <f t="shared" si="22"/>
        <v>0</v>
      </c>
      <c r="F712" s="1">
        <f t="shared" si="23"/>
        <v>0</v>
      </c>
    </row>
    <row r="713" s="1" customFormat="1" spans="5:6">
      <c r="E713" s="1">
        <f t="shared" si="22"/>
        <v>0</v>
      </c>
      <c r="F713" s="1">
        <f t="shared" si="23"/>
        <v>0</v>
      </c>
    </row>
    <row r="714" s="1" customFormat="1" spans="5:6">
      <c r="E714" s="1">
        <f t="shared" si="22"/>
        <v>0</v>
      </c>
      <c r="F714" s="1">
        <f t="shared" si="23"/>
        <v>0</v>
      </c>
    </row>
    <row r="715" s="1" customFormat="1" spans="5:6">
      <c r="E715" s="1">
        <f t="shared" si="22"/>
        <v>0</v>
      </c>
      <c r="F715" s="1">
        <f t="shared" si="23"/>
        <v>0</v>
      </c>
    </row>
    <row r="716" s="1" customFormat="1" spans="5:6">
      <c r="E716" s="1">
        <f t="shared" si="22"/>
        <v>0</v>
      </c>
      <c r="F716" s="1">
        <f t="shared" si="23"/>
        <v>0</v>
      </c>
    </row>
    <row r="717" s="1" customFormat="1" spans="5:6">
      <c r="E717" s="1">
        <f t="shared" si="22"/>
        <v>0</v>
      </c>
      <c r="F717" s="1">
        <f t="shared" si="23"/>
        <v>0</v>
      </c>
    </row>
    <row r="718" s="1" customFormat="1" spans="5:6">
      <c r="E718" s="1">
        <f t="shared" si="22"/>
        <v>0</v>
      </c>
      <c r="F718" s="1">
        <f t="shared" si="23"/>
        <v>0</v>
      </c>
    </row>
    <row r="719" s="1" customFormat="1" spans="5:6">
      <c r="E719" s="1">
        <f t="shared" si="22"/>
        <v>0</v>
      </c>
      <c r="F719" s="1">
        <f t="shared" si="23"/>
        <v>0</v>
      </c>
    </row>
    <row r="720" s="1" customFormat="1" spans="5:6">
      <c r="E720" s="1">
        <f t="shared" si="22"/>
        <v>0</v>
      </c>
      <c r="F720" s="1">
        <f t="shared" si="23"/>
        <v>0</v>
      </c>
    </row>
    <row r="721" s="1" customFormat="1" spans="5:6">
      <c r="E721" s="1">
        <f t="shared" si="22"/>
        <v>0</v>
      </c>
      <c r="F721" s="1">
        <f t="shared" si="23"/>
        <v>0</v>
      </c>
    </row>
    <row r="722" s="1" customFormat="1" spans="5:6">
      <c r="E722" s="1">
        <f t="shared" si="22"/>
        <v>0</v>
      </c>
      <c r="F722" s="1">
        <f t="shared" si="23"/>
        <v>0</v>
      </c>
    </row>
    <row r="723" s="1" customFormat="1" spans="5:6">
      <c r="E723" s="1">
        <f t="shared" si="22"/>
        <v>0</v>
      </c>
      <c r="F723" s="1">
        <f t="shared" si="23"/>
        <v>0</v>
      </c>
    </row>
    <row r="724" s="1" customFormat="1" spans="5:6">
      <c r="E724" s="1">
        <f t="shared" si="22"/>
        <v>0</v>
      </c>
      <c r="F724" s="1">
        <f t="shared" si="23"/>
        <v>0</v>
      </c>
    </row>
    <row r="725" s="1" customFormat="1" spans="5:6">
      <c r="E725" s="1">
        <f t="shared" si="22"/>
        <v>0</v>
      </c>
      <c r="F725" s="1">
        <f t="shared" si="23"/>
        <v>0</v>
      </c>
    </row>
    <row r="726" s="1" customFormat="1" spans="5:6">
      <c r="E726" s="1">
        <f t="shared" si="22"/>
        <v>0</v>
      </c>
      <c r="F726" s="1">
        <f t="shared" si="23"/>
        <v>0</v>
      </c>
    </row>
    <row r="727" s="1" customFormat="1" spans="5:6">
      <c r="E727" s="1">
        <f t="shared" si="22"/>
        <v>0</v>
      </c>
      <c r="F727" s="1">
        <f t="shared" si="23"/>
        <v>0</v>
      </c>
    </row>
    <row r="728" s="1" customFormat="1" spans="5:6">
      <c r="E728" s="1">
        <f t="shared" si="22"/>
        <v>0</v>
      </c>
      <c r="F728" s="1">
        <f t="shared" si="23"/>
        <v>0</v>
      </c>
    </row>
    <row r="729" s="1" customFormat="1" spans="5:6">
      <c r="E729" s="1">
        <f t="shared" si="22"/>
        <v>0</v>
      </c>
      <c r="F729" s="1">
        <f t="shared" si="23"/>
        <v>0</v>
      </c>
    </row>
    <row r="730" s="1" customFormat="1" spans="5:6">
      <c r="E730" s="1">
        <f t="shared" si="22"/>
        <v>0</v>
      </c>
      <c r="F730" s="1">
        <f t="shared" si="23"/>
        <v>0</v>
      </c>
    </row>
    <row r="731" s="1" customFormat="1" spans="5:6">
      <c r="E731" s="1">
        <f t="shared" si="22"/>
        <v>0</v>
      </c>
      <c r="F731" s="1">
        <f t="shared" si="23"/>
        <v>0</v>
      </c>
    </row>
    <row r="732" s="1" customFormat="1" spans="5:6">
      <c r="E732" s="1">
        <f t="shared" si="22"/>
        <v>0</v>
      </c>
      <c r="F732" s="1">
        <f t="shared" si="23"/>
        <v>0</v>
      </c>
    </row>
    <row r="733" s="1" customFormat="1" spans="5:6">
      <c r="E733" s="1">
        <f t="shared" si="22"/>
        <v>0</v>
      </c>
      <c r="F733" s="1">
        <f t="shared" si="23"/>
        <v>0</v>
      </c>
    </row>
    <row r="734" s="1" customFormat="1" spans="5:6">
      <c r="E734" s="1">
        <f t="shared" si="22"/>
        <v>0</v>
      </c>
      <c r="F734" s="1">
        <f t="shared" si="23"/>
        <v>0</v>
      </c>
    </row>
    <row r="735" s="1" customFormat="1" spans="5:6">
      <c r="E735" s="1">
        <f t="shared" si="22"/>
        <v>0</v>
      </c>
      <c r="F735" s="1">
        <f t="shared" si="23"/>
        <v>0</v>
      </c>
    </row>
    <row r="736" s="1" customFormat="1" spans="5:6">
      <c r="E736" s="1">
        <f t="shared" si="22"/>
        <v>0</v>
      </c>
      <c r="F736" s="1">
        <f t="shared" si="23"/>
        <v>0</v>
      </c>
    </row>
    <row r="737" s="1" customFormat="1" spans="5:6">
      <c r="E737" s="1">
        <f t="shared" si="22"/>
        <v>0</v>
      </c>
      <c r="F737" s="1">
        <f t="shared" si="23"/>
        <v>0</v>
      </c>
    </row>
    <row r="738" s="1" customFormat="1" spans="5:6">
      <c r="E738" s="1">
        <f t="shared" si="22"/>
        <v>0</v>
      </c>
      <c r="F738" s="1">
        <f t="shared" si="23"/>
        <v>0</v>
      </c>
    </row>
    <row r="739" s="1" customFormat="1" spans="5:6">
      <c r="E739" s="1">
        <f t="shared" si="22"/>
        <v>0</v>
      </c>
      <c r="F739" s="1">
        <f t="shared" si="23"/>
        <v>0</v>
      </c>
    </row>
    <row r="740" s="1" customFormat="1" spans="5:6">
      <c r="E740" s="1">
        <f t="shared" si="22"/>
        <v>0</v>
      </c>
      <c r="F740" s="1">
        <f t="shared" si="23"/>
        <v>0</v>
      </c>
    </row>
    <row r="741" s="1" customFormat="1" spans="5:6">
      <c r="E741" s="1">
        <f t="shared" si="22"/>
        <v>0</v>
      </c>
      <c r="F741" s="1">
        <f t="shared" si="23"/>
        <v>0</v>
      </c>
    </row>
    <row r="742" s="1" customFormat="1" spans="5:6">
      <c r="E742" s="1">
        <f t="shared" si="22"/>
        <v>0</v>
      </c>
      <c r="F742" s="1">
        <f t="shared" si="23"/>
        <v>0</v>
      </c>
    </row>
    <row r="743" s="1" customFormat="1" spans="5:6">
      <c r="E743" s="1">
        <f t="shared" si="22"/>
        <v>0</v>
      </c>
      <c r="F743" s="1">
        <f t="shared" si="23"/>
        <v>0</v>
      </c>
    </row>
    <row r="744" s="1" customFormat="1" spans="5:6">
      <c r="E744" s="1">
        <f t="shared" si="22"/>
        <v>0</v>
      </c>
      <c r="F744" s="1">
        <f t="shared" si="23"/>
        <v>0</v>
      </c>
    </row>
    <row r="745" s="1" customFormat="1" spans="5:6">
      <c r="E745" s="1">
        <f t="shared" si="22"/>
        <v>0</v>
      </c>
      <c r="F745" s="1">
        <f t="shared" si="23"/>
        <v>0</v>
      </c>
    </row>
    <row r="746" s="1" customFormat="1" spans="5:6">
      <c r="E746" s="1">
        <f t="shared" si="22"/>
        <v>0</v>
      </c>
      <c r="F746" s="1">
        <f t="shared" si="23"/>
        <v>0</v>
      </c>
    </row>
    <row r="747" s="1" customFormat="1" spans="5:6">
      <c r="E747" s="1">
        <f t="shared" si="22"/>
        <v>0</v>
      </c>
      <c r="F747" s="1">
        <f t="shared" si="23"/>
        <v>0</v>
      </c>
    </row>
    <row r="748" s="1" customFormat="1" spans="5:6">
      <c r="E748" s="1">
        <f t="shared" si="22"/>
        <v>0</v>
      </c>
      <c r="F748" s="1">
        <f t="shared" si="23"/>
        <v>0</v>
      </c>
    </row>
    <row r="749" s="1" customFormat="1" spans="5:6">
      <c r="E749" s="1">
        <f t="shared" si="22"/>
        <v>0</v>
      </c>
      <c r="F749" s="1">
        <f t="shared" si="23"/>
        <v>0</v>
      </c>
    </row>
    <row r="750" s="1" customFormat="1" spans="5:6">
      <c r="E750" s="1">
        <f t="shared" si="22"/>
        <v>0</v>
      </c>
      <c r="F750" s="1">
        <f t="shared" si="23"/>
        <v>0</v>
      </c>
    </row>
    <row r="751" s="1" customFormat="1" spans="5:6">
      <c r="E751" s="1">
        <f t="shared" si="22"/>
        <v>0</v>
      </c>
      <c r="F751" s="1">
        <f t="shared" si="23"/>
        <v>0</v>
      </c>
    </row>
    <row r="752" s="1" customFormat="1" spans="5:6">
      <c r="E752" s="1">
        <f t="shared" si="22"/>
        <v>0</v>
      </c>
      <c r="F752" s="1">
        <f t="shared" si="23"/>
        <v>0</v>
      </c>
    </row>
    <row r="753" s="1" customFormat="1" spans="5:6">
      <c r="E753" s="1">
        <f t="shared" si="22"/>
        <v>0</v>
      </c>
      <c r="F753" s="1">
        <f t="shared" si="23"/>
        <v>0</v>
      </c>
    </row>
    <row r="754" s="1" customFormat="1" spans="5:6">
      <c r="E754" s="1">
        <f t="shared" si="22"/>
        <v>0</v>
      </c>
      <c r="F754" s="1">
        <f t="shared" si="23"/>
        <v>0</v>
      </c>
    </row>
    <row r="755" s="1" customFormat="1" spans="5:6">
      <c r="E755" s="1">
        <f t="shared" si="22"/>
        <v>0</v>
      </c>
      <c r="F755" s="1">
        <f t="shared" si="23"/>
        <v>0</v>
      </c>
    </row>
    <row r="756" s="1" customFormat="1" spans="5:6">
      <c r="E756" s="1">
        <f t="shared" si="22"/>
        <v>0</v>
      </c>
      <c r="F756" s="1">
        <f t="shared" si="23"/>
        <v>0</v>
      </c>
    </row>
    <row r="757" s="1" customFormat="1" spans="5:6">
      <c r="E757" s="1">
        <f t="shared" si="22"/>
        <v>0</v>
      </c>
      <c r="F757" s="1">
        <f t="shared" si="23"/>
        <v>0</v>
      </c>
    </row>
    <row r="758" s="1" customFormat="1" spans="5:6">
      <c r="E758" s="1">
        <f t="shared" si="22"/>
        <v>0</v>
      </c>
      <c r="F758" s="1">
        <f t="shared" si="23"/>
        <v>0</v>
      </c>
    </row>
    <row r="759" s="1" customFormat="1" spans="5:6">
      <c r="E759" s="1">
        <f t="shared" si="22"/>
        <v>0</v>
      </c>
      <c r="F759" s="1">
        <f t="shared" si="23"/>
        <v>0</v>
      </c>
    </row>
    <row r="760" s="1" customFormat="1" spans="5:6">
      <c r="E760" s="1">
        <f t="shared" si="22"/>
        <v>0</v>
      </c>
      <c r="F760" s="1">
        <f t="shared" si="23"/>
        <v>0</v>
      </c>
    </row>
    <row r="761" s="1" customFormat="1" spans="5:6">
      <c r="E761" s="1">
        <f t="shared" si="22"/>
        <v>0</v>
      </c>
      <c r="F761" s="1">
        <f t="shared" si="23"/>
        <v>0</v>
      </c>
    </row>
    <row r="762" s="1" customFormat="1" spans="5:6">
      <c r="E762" s="1">
        <f t="shared" si="22"/>
        <v>0</v>
      </c>
      <c r="F762" s="1">
        <f t="shared" si="23"/>
        <v>0</v>
      </c>
    </row>
    <row r="763" s="1" customFormat="1" spans="5:6">
      <c r="E763" s="1">
        <f t="shared" si="22"/>
        <v>0</v>
      </c>
      <c r="F763" s="1">
        <f t="shared" si="23"/>
        <v>0</v>
      </c>
    </row>
    <row r="764" s="1" customFormat="1" spans="5:6">
      <c r="E764" s="1">
        <f t="shared" si="22"/>
        <v>0</v>
      </c>
      <c r="F764" s="1">
        <f t="shared" si="23"/>
        <v>0</v>
      </c>
    </row>
    <row r="765" s="1" customFormat="1" spans="5:6">
      <c r="E765" s="1">
        <f t="shared" si="22"/>
        <v>0</v>
      </c>
      <c r="F765" s="1">
        <f t="shared" si="23"/>
        <v>0</v>
      </c>
    </row>
    <row r="766" s="1" customFormat="1" spans="5:6">
      <c r="E766" s="1">
        <f t="shared" si="22"/>
        <v>0</v>
      </c>
      <c r="F766" s="1">
        <f t="shared" si="23"/>
        <v>0</v>
      </c>
    </row>
    <row r="767" s="1" customFormat="1" spans="5:6">
      <c r="E767" s="1">
        <f t="shared" si="22"/>
        <v>0</v>
      </c>
      <c r="F767" s="1">
        <f t="shared" si="23"/>
        <v>0</v>
      </c>
    </row>
    <row r="768" s="1" customFormat="1" spans="5:6">
      <c r="E768" s="1">
        <f t="shared" si="22"/>
        <v>0</v>
      </c>
      <c r="F768" s="1">
        <f t="shared" si="23"/>
        <v>0</v>
      </c>
    </row>
    <row r="769" s="1" customFormat="1" spans="5:6">
      <c r="E769" s="1">
        <f t="shared" si="22"/>
        <v>0</v>
      </c>
      <c r="F769" s="1">
        <f t="shared" si="23"/>
        <v>0</v>
      </c>
    </row>
    <row r="770" s="1" customFormat="1" spans="5:6">
      <c r="E770" s="1">
        <f t="shared" si="22"/>
        <v>0</v>
      </c>
      <c r="F770" s="1">
        <f t="shared" si="23"/>
        <v>0</v>
      </c>
    </row>
    <row r="771" s="1" customFormat="1" spans="5:6">
      <c r="E771" s="1">
        <f t="shared" ref="E771:E834" si="24">IF(B771="买入",C771/D771,IF(B771="卖出",-C771/D771,0))</f>
        <v>0</v>
      </c>
      <c r="F771" s="1">
        <f t="shared" ref="F771:F834" si="25">IF(B771="买入",-C771,IF(B771="卖出",C771,0))</f>
        <v>0</v>
      </c>
    </row>
    <row r="772" s="1" customFormat="1" spans="5:6">
      <c r="E772" s="1">
        <f t="shared" si="24"/>
        <v>0</v>
      </c>
      <c r="F772" s="1">
        <f t="shared" si="25"/>
        <v>0</v>
      </c>
    </row>
    <row r="773" s="1" customFormat="1" spans="5:6">
      <c r="E773" s="1">
        <f t="shared" si="24"/>
        <v>0</v>
      </c>
      <c r="F773" s="1">
        <f t="shared" si="25"/>
        <v>0</v>
      </c>
    </row>
    <row r="774" s="1" customFormat="1" spans="5:6">
      <c r="E774" s="1">
        <f t="shared" si="24"/>
        <v>0</v>
      </c>
      <c r="F774" s="1">
        <f t="shared" si="25"/>
        <v>0</v>
      </c>
    </row>
    <row r="775" s="1" customFormat="1" spans="5:6">
      <c r="E775" s="1">
        <f t="shared" si="24"/>
        <v>0</v>
      </c>
      <c r="F775" s="1">
        <f t="shared" si="25"/>
        <v>0</v>
      </c>
    </row>
    <row r="776" s="1" customFormat="1" spans="5:6">
      <c r="E776" s="1">
        <f t="shared" si="24"/>
        <v>0</v>
      </c>
      <c r="F776" s="1">
        <f t="shared" si="25"/>
        <v>0</v>
      </c>
    </row>
    <row r="777" s="1" customFormat="1" spans="5:6">
      <c r="E777" s="1">
        <f t="shared" si="24"/>
        <v>0</v>
      </c>
      <c r="F777" s="1">
        <f t="shared" si="25"/>
        <v>0</v>
      </c>
    </row>
    <row r="778" s="1" customFormat="1" spans="5:6">
      <c r="E778" s="1">
        <f t="shared" si="24"/>
        <v>0</v>
      </c>
      <c r="F778" s="1">
        <f t="shared" si="25"/>
        <v>0</v>
      </c>
    </row>
    <row r="779" s="1" customFormat="1" spans="5:6">
      <c r="E779" s="1">
        <f t="shared" si="24"/>
        <v>0</v>
      </c>
      <c r="F779" s="1">
        <f t="shared" si="25"/>
        <v>0</v>
      </c>
    </row>
    <row r="780" s="1" customFormat="1" spans="5:6">
      <c r="E780" s="1">
        <f t="shared" si="24"/>
        <v>0</v>
      </c>
      <c r="F780" s="1">
        <f t="shared" si="25"/>
        <v>0</v>
      </c>
    </row>
    <row r="781" s="1" customFormat="1" spans="5:6">
      <c r="E781" s="1">
        <f t="shared" si="24"/>
        <v>0</v>
      </c>
      <c r="F781" s="1">
        <f t="shared" si="25"/>
        <v>0</v>
      </c>
    </row>
    <row r="782" s="1" customFormat="1" spans="5:6">
      <c r="E782" s="1">
        <f t="shared" si="24"/>
        <v>0</v>
      </c>
      <c r="F782" s="1">
        <f t="shared" si="25"/>
        <v>0</v>
      </c>
    </row>
    <row r="783" s="1" customFormat="1" spans="5:6">
      <c r="E783" s="1">
        <f t="shared" si="24"/>
        <v>0</v>
      </c>
      <c r="F783" s="1">
        <f t="shared" si="25"/>
        <v>0</v>
      </c>
    </row>
    <row r="784" s="1" customFormat="1" spans="5:6">
      <c r="E784" s="1">
        <f t="shared" si="24"/>
        <v>0</v>
      </c>
      <c r="F784" s="1">
        <f t="shared" si="25"/>
        <v>0</v>
      </c>
    </row>
    <row r="785" s="1" customFormat="1" spans="5:6">
      <c r="E785" s="1">
        <f t="shared" si="24"/>
        <v>0</v>
      </c>
      <c r="F785" s="1">
        <f t="shared" si="25"/>
        <v>0</v>
      </c>
    </row>
    <row r="786" s="1" customFormat="1" spans="5:6">
      <c r="E786" s="1">
        <f t="shared" si="24"/>
        <v>0</v>
      </c>
      <c r="F786" s="1">
        <f t="shared" si="25"/>
        <v>0</v>
      </c>
    </row>
    <row r="787" s="1" customFormat="1" spans="5:6">
      <c r="E787" s="1">
        <f t="shared" si="24"/>
        <v>0</v>
      </c>
      <c r="F787" s="1">
        <f t="shared" si="25"/>
        <v>0</v>
      </c>
    </row>
    <row r="788" s="1" customFormat="1" spans="5:6">
      <c r="E788" s="1">
        <f t="shared" si="24"/>
        <v>0</v>
      </c>
      <c r="F788" s="1">
        <f t="shared" si="25"/>
        <v>0</v>
      </c>
    </row>
    <row r="789" s="1" customFormat="1" spans="5:6">
      <c r="E789" s="1">
        <f t="shared" si="24"/>
        <v>0</v>
      </c>
      <c r="F789" s="1">
        <f t="shared" si="25"/>
        <v>0</v>
      </c>
    </row>
    <row r="790" s="1" customFormat="1" spans="5:6">
      <c r="E790" s="1">
        <f t="shared" si="24"/>
        <v>0</v>
      </c>
      <c r="F790" s="1">
        <f t="shared" si="25"/>
        <v>0</v>
      </c>
    </row>
    <row r="791" s="1" customFormat="1" spans="5:6">
      <c r="E791" s="1">
        <f t="shared" si="24"/>
        <v>0</v>
      </c>
      <c r="F791" s="1">
        <f t="shared" si="25"/>
        <v>0</v>
      </c>
    </row>
    <row r="792" s="1" customFormat="1" spans="5:6">
      <c r="E792" s="1">
        <f t="shared" si="24"/>
        <v>0</v>
      </c>
      <c r="F792" s="1">
        <f t="shared" si="25"/>
        <v>0</v>
      </c>
    </row>
    <row r="793" s="1" customFormat="1" spans="5:6">
      <c r="E793" s="1">
        <f t="shared" si="24"/>
        <v>0</v>
      </c>
      <c r="F793" s="1">
        <f t="shared" si="25"/>
        <v>0</v>
      </c>
    </row>
    <row r="794" s="1" customFormat="1" spans="5:6">
      <c r="E794" s="1">
        <f t="shared" si="24"/>
        <v>0</v>
      </c>
      <c r="F794" s="1">
        <f t="shared" si="25"/>
        <v>0</v>
      </c>
    </row>
    <row r="795" s="1" customFormat="1" spans="5:6">
      <c r="E795" s="1">
        <f t="shared" si="24"/>
        <v>0</v>
      </c>
      <c r="F795" s="1">
        <f t="shared" si="25"/>
        <v>0</v>
      </c>
    </row>
    <row r="796" s="1" customFormat="1" spans="5:6">
      <c r="E796" s="1">
        <f t="shared" si="24"/>
        <v>0</v>
      </c>
      <c r="F796" s="1">
        <f t="shared" si="25"/>
        <v>0</v>
      </c>
    </row>
    <row r="797" s="1" customFormat="1" spans="5:6">
      <c r="E797" s="1">
        <f t="shared" si="24"/>
        <v>0</v>
      </c>
      <c r="F797" s="1">
        <f t="shared" si="25"/>
        <v>0</v>
      </c>
    </row>
    <row r="798" s="1" customFormat="1" spans="5:6">
      <c r="E798" s="1">
        <f t="shared" si="24"/>
        <v>0</v>
      </c>
      <c r="F798" s="1">
        <f t="shared" si="25"/>
        <v>0</v>
      </c>
    </row>
    <row r="799" s="1" customFormat="1" spans="5:6">
      <c r="E799" s="1">
        <f t="shared" si="24"/>
        <v>0</v>
      </c>
      <c r="F799" s="1">
        <f t="shared" si="25"/>
        <v>0</v>
      </c>
    </row>
    <row r="800" s="1" customFormat="1" spans="5:6">
      <c r="E800" s="1">
        <f t="shared" si="24"/>
        <v>0</v>
      </c>
      <c r="F800" s="1">
        <f t="shared" si="25"/>
        <v>0</v>
      </c>
    </row>
    <row r="801" s="1" customFormat="1" spans="5:6">
      <c r="E801" s="1">
        <f t="shared" si="24"/>
        <v>0</v>
      </c>
      <c r="F801" s="1">
        <f t="shared" si="25"/>
        <v>0</v>
      </c>
    </row>
    <row r="802" s="1" customFormat="1" spans="5:6">
      <c r="E802" s="1">
        <f t="shared" si="24"/>
        <v>0</v>
      </c>
      <c r="F802" s="1">
        <f t="shared" si="25"/>
        <v>0</v>
      </c>
    </row>
    <row r="803" s="1" customFormat="1" spans="5:6">
      <c r="E803" s="1">
        <f t="shared" si="24"/>
        <v>0</v>
      </c>
      <c r="F803" s="1">
        <f t="shared" si="25"/>
        <v>0</v>
      </c>
    </row>
    <row r="804" s="1" customFormat="1" spans="5:6">
      <c r="E804" s="1">
        <f t="shared" si="24"/>
        <v>0</v>
      </c>
      <c r="F804" s="1">
        <f t="shared" si="25"/>
        <v>0</v>
      </c>
    </row>
    <row r="805" s="1" customFormat="1" spans="5:6">
      <c r="E805" s="1">
        <f t="shared" si="24"/>
        <v>0</v>
      </c>
      <c r="F805" s="1">
        <f t="shared" si="25"/>
        <v>0</v>
      </c>
    </row>
    <row r="806" s="1" customFormat="1" spans="5:6">
      <c r="E806" s="1">
        <f t="shared" si="24"/>
        <v>0</v>
      </c>
      <c r="F806" s="1">
        <f t="shared" si="25"/>
        <v>0</v>
      </c>
    </row>
    <row r="807" s="1" customFormat="1" spans="5:6">
      <c r="E807" s="1">
        <f t="shared" si="24"/>
        <v>0</v>
      </c>
      <c r="F807" s="1">
        <f t="shared" si="25"/>
        <v>0</v>
      </c>
    </row>
    <row r="808" s="1" customFormat="1" spans="5:6">
      <c r="E808" s="1">
        <f t="shared" si="24"/>
        <v>0</v>
      </c>
      <c r="F808" s="1">
        <f t="shared" si="25"/>
        <v>0</v>
      </c>
    </row>
    <row r="809" s="1" customFormat="1" spans="5:6">
      <c r="E809" s="1">
        <f t="shared" si="24"/>
        <v>0</v>
      </c>
      <c r="F809" s="1">
        <f t="shared" si="25"/>
        <v>0</v>
      </c>
    </row>
    <row r="810" s="1" customFormat="1" spans="5:6">
      <c r="E810" s="1">
        <f t="shared" si="24"/>
        <v>0</v>
      </c>
      <c r="F810" s="1">
        <f t="shared" si="25"/>
        <v>0</v>
      </c>
    </row>
    <row r="811" s="1" customFormat="1" spans="5:6">
      <c r="E811" s="1">
        <f t="shared" si="24"/>
        <v>0</v>
      </c>
      <c r="F811" s="1">
        <f t="shared" si="25"/>
        <v>0</v>
      </c>
    </row>
    <row r="812" s="1" customFormat="1" spans="5:6">
      <c r="E812" s="1">
        <f t="shared" si="24"/>
        <v>0</v>
      </c>
      <c r="F812" s="1">
        <f t="shared" si="25"/>
        <v>0</v>
      </c>
    </row>
    <row r="813" s="1" customFormat="1" spans="5:6">
      <c r="E813" s="1">
        <f t="shared" si="24"/>
        <v>0</v>
      </c>
      <c r="F813" s="1">
        <f t="shared" si="25"/>
        <v>0</v>
      </c>
    </row>
    <row r="814" s="1" customFormat="1" spans="5:6">
      <c r="E814" s="1">
        <f t="shared" si="24"/>
        <v>0</v>
      </c>
      <c r="F814" s="1">
        <f t="shared" si="25"/>
        <v>0</v>
      </c>
    </row>
    <row r="815" s="1" customFormat="1" spans="5:6">
      <c r="E815" s="1">
        <f t="shared" si="24"/>
        <v>0</v>
      </c>
      <c r="F815" s="1">
        <f t="shared" si="25"/>
        <v>0</v>
      </c>
    </row>
    <row r="816" s="1" customFormat="1" spans="5:6">
      <c r="E816" s="1">
        <f t="shared" si="24"/>
        <v>0</v>
      </c>
      <c r="F816" s="1">
        <f t="shared" si="25"/>
        <v>0</v>
      </c>
    </row>
    <row r="817" s="1" customFormat="1" spans="5:6">
      <c r="E817" s="1">
        <f t="shared" si="24"/>
        <v>0</v>
      </c>
      <c r="F817" s="1">
        <f t="shared" si="25"/>
        <v>0</v>
      </c>
    </row>
    <row r="818" s="1" customFormat="1" spans="5:6">
      <c r="E818" s="1">
        <f t="shared" si="24"/>
        <v>0</v>
      </c>
      <c r="F818" s="1">
        <f t="shared" si="25"/>
        <v>0</v>
      </c>
    </row>
    <row r="819" s="1" customFormat="1" spans="5:6">
      <c r="E819" s="1">
        <f t="shared" si="24"/>
        <v>0</v>
      </c>
      <c r="F819" s="1">
        <f t="shared" si="25"/>
        <v>0</v>
      </c>
    </row>
    <row r="820" s="1" customFormat="1" spans="5:6">
      <c r="E820" s="1">
        <f t="shared" si="24"/>
        <v>0</v>
      </c>
      <c r="F820" s="1">
        <f t="shared" si="25"/>
        <v>0</v>
      </c>
    </row>
    <row r="821" s="1" customFormat="1" spans="5:6">
      <c r="E821" s="1">
        <f t="shared" si="24"/>
        <v>0</v>
      </c>
      <c r="F821" s="1">
        <f t="shared" si="25"/>
        <v>0</v>
      </c>
    </row>
    <row r="822" s="1" customFormat="1" spans="5:6">
      <c r="E822" s="1">
        <f t="shared" si="24"/>
        <v>0</v>
      </c>
      <c r="F822" s="1">
        <f t="shared" si="25"/>
        <v>0</v>
      </c>
    </row>
    <row r="823" s="1" customFormat="1" spans="5:6">
      <c r="E823" s="1">
        <f t="shared" si="24"/>
        <v>0</v>
      </c>
      <c r="F823" s="1">
        <f t="shared" si="25"/>
        <v>0</v>
      </c>
    </row>
    <row r="824" s="1" customFormat="1" spans="5:6">
      <c r="E824" s="1">
        <f t="shared" si="24"/>
        <v>0</v>
      </c>
      <c r="F824" s="1">
        <f t="shared" si="25"/>
        <v>0</v>
      </c>
    </row>
    <row r="825" s="1" customFormat="1" spans="5:6">
      <c r="E825" s="1">
        <f t="shared" si="24"/>
        <v>0</v>
      </c>
      <c r="F825" s="1">
        <f t="shared" si="25"/>
        <v>0</v>
      </c>
    </row>
    <row r="826" s="1" customFormat="1" spans="5:6">
      <c r="E826" s="1">
        <f t="shared" si="24"/>
        <v>0</v>
      </c>
      <c r="F826" s="1">
        <f t="shared" si="25"/>
        <v>0</v>
      </c>
    </row>
    <row r="827" s="1" customFormat="1" spans="5:6">
      <c r="E827" s="1">
        <f t="shared" si="24"/>
        <v>0</v>
      </c>
      <c r="F827" s="1">
        <f t="shared" si="25"/>
        <v>0</v>
      </c>
    </row>
    <row r="828" s="1" customFormat="1" spans="5:6">
      <c r="E828" s="1">
        <f t="shared" si="24"/>
        <v>0</v>
      </c>
      <c r="F828" s="1">
        <f t="shared" si="25"/>
        <v>0</v>
      </c>
    </row>
    <row r="829" s="1" customFormat="1" spans="5:6">
      <c r="E829" s="1">
        <f t="shared" si="24"/>
        <v>0</v>
      </c>
      <c r="F829" s="1">
        <f t="shared" si="25"/>
        <v>0</v>
      </c>
    </row>
    <row r="830" s="1" customFormat="1" spans="5:6">
      <c r="E830" s="1">
        <f t="shared" si="24"/>
        <v>0</v>
      </c>
      <c r="F830" s="1">
        <f t="shared" si="25"/>
        <v>0</v>
      </c>
    </row>
    <row r="831" s="1" customFormat="1" spans="5:6">
      <c r="E831" s="1">
        <f t="shared" si="24"/>
        <v>0</v>
      </c>
      <c r="F831" s="1">
        <f t="shared" si="25"/>
        <v>0</v>
      </c>
    </row>
    <row r="832" s="1" customFormat="1" spans="5:6">
      <c r="E832" s="1">
        <f t="shared" si="24"/>
        <v>0</v>
      </c>
      <c r="F832" s="1">
        <f t="shared" si="25"/>
        <v>0</v>
      </c>
    </row>
    <row r="833" s="1" customFormat="1" spans="5:6">
      <c r="E833" s="1">
        <f t="shared" si="24"/>
        <v>0</v>
      </c>
      <c r="F833" s="1">
        <f t="shared" si="25"/>
        <v>0</v>
      </c>
    </row>
    <row r="834" s="1" customFormat="1" spans="5:6">
      <c r="E834" s="1">
        <f t="shared" si="24"/>
        <v>0</v>
      </c>
      <c r="F834" s="1">
        <f t="shared" si="25"/>
        <v>0</v>
      </c>
    </row>
    <row r="835" s="1" customFormat="1" spans="5:6">
      <c r="E835" s="1">
        <f t="shared" ref="E835:E898" si="26">IF(B835="买入",C835/D835,IF(B835="卖出",-C835/D835,0))</f>
        <v>0</v>
      </c>
      <c r="F835" s="1">
        <f t="shared" ref="F835:F898" si="27">IF(B835="买入",-C835,IF(B835="卖出",C835,0))</f>
        <v>0</v>
      </c>
    </row>
    <row r="836" s="1" customFormat="1" spans="5:6">
      <c r="E836" s="1">
        <f t="shared" si="26"/>
        <v>0</v>
      </c>
      <c r="F836" s="1">
        <f t="shared" si="27"/>
        <v>0</v>
      </c>
    </row>
    <row r="837" s="1" customFormat="1" spans="5:6">
      <c r="E837" s="1">
        <f t="shared" si="26"/>
        <v>0</v>
      </c>
      <c r="F837" s="1">
        <f t="shared" si="27"/>
        <v>0</v>
      </c>
    </row>
    <row r="838" s="1" customFormat="1" spans="5:6">
      <c r="E838" s="1">
        <f t="shared" si="26"/>
        <v>0</v>
      </c>
      <c r="F838" s="1">
        <f t="shared" si="27"/>
        <v>0</v>
      </c>
    </row>
    <row r="839" s="1" customFormat="1" spans="5:6">
      <c r="E839" s="1">
        <f t="shared" si="26"/>
        <v>0</v>
      </c>
      <c r="F839" s="1">
        <f t="shared" si="27"/>
        <v>0</v>
      </c>
    </row>
    <row r="840" s="1" customFormat="1" spans="5:6">
      <c r="E840" s="1">
        <f t="shared" si="26"/>
        <v>0</v>
      </c>
      <c r="F840" s="1">
        <f t="shared" si="27"/>
        <v>0</v>
      </c>
    </row>
    <row r="841" s="1" customFormat="1" spans="5:6">
      <c r="E841" s="1">
        <f t="shared" si="26"/>
        <v>0</v>
      </c>
      <c r="F841" s="1">
        <f t="shared" si="27"/>
        <v>0</v>
      </c>
    </row>
    <row r="842" s="1" customFormat="1" spans="5:6">
      <c r="E842" s="1">
        <f t="shared" si="26"/>
        <v>0</v>
      </c>
      <c r="F842" s="1">
        <f t="shared" si="27"/>
        <v>0</v>
      </c>
    </row>
    <row r="843" s="1" customFormat="1" spans="5:6">
      <c r="E843" s="1">
        <f t="shared" si="26"/>
        <v>0</v>
      </c>
      <c r="F843" s="1">
        <f t="shared" si="27"/>
        <v>0</v>
      </c>
    </row>
    <row r="844" s="1" customFormat="1" spans="5:6">
      <c r="E844" s="1">
        <f t="shared" si="26"/>
        <v>0</v>
      </c>
      <c r="F844" s="1">
        <f t="shared" si="27"/>
        <v>0</v>
      </c>
    </row>
    <row r="845" s="1" customFormat="1" spans="5:6">
      <c r="E845" s="1">
        <f t="shared" si="26"/>
        <v>0</v>
      </c>
      <c r="F845" s="1">
        <f t="shared" si="27"/>
        <v>0</v>
      </c>
    </row>
    <row r="846" s="1" customFormat="1" spans="5:6">
      <c r="E846" s="1">
        <f t="shared" si="26"/>
        <v>0</v>
      </c>
      <c r="F846" s="1">
        <f t="shared" si="27"/>
        <v>0</v>
      </c>
    </row>
    <row r="847" s="1" customFormat="1" spans="5:6">
      <c r="E847" s="1">
        <f t="shared" si="26"/>
        <v>0</v>
      </c>
      <c r="F847" s="1">
        <f t="shared" si="27"/>
        <v>0</v>
      </c>
    </row>
    <row r="848" s="1" customFormat="1" spans="5:6">
      <c r="E848" s="1">
        <f t="shared" si="26"/>
        <v>0</v>
      </c>
      <c r="F848" s="1">
        <f t="shared" si="27"/>
        <v>0</v>
      </c>
    </row>
    <row r="849" s="1" customFormat="1" spans="5:6">
      <c r="E849" s="1">
        <f t="shared" si="26"/>
        <v>0</v>
      </c>
      <c r="F849" s="1">
        <f t="shared" si="27"/>
        <v>0</v>
      </c>
    </row>
    <row r="850" s="1" customFormat="1" spans="5:6">
      <c r="E850" s="1">
        <f t="shared" si="26"/>
        <v>0</v>
      </c>
      <c r="F850" s="1">
        <f t="shared" si="27"/>
        <v>0</v>
      </c>
    </row>
    <row r="851" s="1" customFormat="1" spans="5:6">
      <c r="E851" s="1">
        <f t="shared" si="26"/>
        <v>0</v>
      </c>
      <c r="F851" s="1">
        <f t="shared" si="27"/>
        <v>0</v>
      </c>
    </row>
    <row r="852" s="1" customFormat="1" spans="5:6">
      <c r="E852" s="1">
        <f t="shared" si="26"/>
        <v>0</v>
      </c>
      <c r="F852" s="1">
        <f t="shared" si="27"/>
        <v>0</v>
      </c>
    </row>
    <row r="853" s="1" customFormat="1" spans="5:6">
      <c r="E853" s="1">
        <f t="shared" si="26"/>
        <v>0</v>
      </c>
      <c r="F853" s="1">
        <f t="shared" si="27"/>
        <v>0</v>
      </c>
    </row>
    <row r="854" s="1" customFormat="1" spans="5:6">
      <c r="E854" s="1">
        <f t="shared" si="26"/>
        <v>0</v>
      </c>
      <c r="F854" s="1">
        <f t="shared" si="27"/>
        <v>0</v>
      </c>
    </row>
    <row r="855" s="1" customFormat="1" spans="5:6">
      <c r="E855" s="1">
        <f t="shared" si="26"/>
        <v>0</v>
      </c>
      <c r="F855" s="1">
        <f t="shared" si="27"/>
        <v>0</v>
      </c>
    </row>
    <row r="856" s="1" customFormat="1" spans="5:6">
      <c r="E856" s="1">
        <f t="shared" si="26"/>
        <v>0</v>
      </c>
      <c r="F856" s="1">
        <f t="shared" si="27"/>
        <v>0</v>
      </c>
    </row>
    <row r="857" s="1" customFormat="1" spans="5:6">
      <c r="E857" s="1">
        <f t="shared" si="26"/>
        <v>0</v>
      </c>
      <c r="F857" s="1">
        <f t="shared" si="27"/>
        <v>0</v>
      </c>
    </row>
    <row r="858" s="1" customFormat="1" spans="5:6">
      <c r="E858" s="1">
        <f t="shared" si="26"/>
        <v>0</v>
      </c>
      <c r="F858" s="1">
        <f t="shared" si="27"/>
        <v>0</v>
      </c>
    </row>
    <row r="859" s="1" customFormat="1" spans="5:6">
      <c r="E859" s="1">
        <f t="shared" si="26"/>
        <v>0</v>
      </c>
      <c r="F859" s="1">
        <f t="shared" si="27"/>
        <v>0</v>
      </c>
    </row>
    <row r="860" s="1" customFormat="1" spans="5:6">
      <c r="E860" s="1">
        <f t="shared" si="26"/>
        <v>0</v>
      </c>
      <c r="F860" s="1">
        <f t="shared" si="27"/>
        <v>0</v>
      </c>
    </row>
    <row r="861" s="1" customFormat="1" spans="5:6">
      <c r="E861" s="1">
        <f t="shared" si="26"/>
        <v>0</v>
      </c>
      <c r="F861" s="1">
        <f t="shared" si="27"/>
        <v>0</v>
      </c>
    </row>
    <row r="862" s="1" customFormat="1" spans="5:6">
      <c r="E862" s="1">
        <f t="shared" si="26"/>
        <v>0</v>
      </c>
      <c r="F862" s="1">
        <f t="shared" si="27"/>
        <v>0</v>
      </c>
    </row>
    <row r="863" s="1" customFormat="1" spans="5:6">
      <c r="E863" s="1">
        <f t="shared" si="26"/>
        <v>0</v>
      </c>
      <c r="F863" s="1">
        <f t="shared" si="27"/>
        <v>0</v>
      </c>
    </row>
    <row r="864" s="1" customFormat="1" spans="5:6">
      <c r="E864" s="1">
        <f t="shared" si="26"/>
        <v>0</v>
      </c>
      <c r="F864" s="1">
        <f t="shared" si="27"/>
        <v>0</v>
      </c>
    </row>
    <row r="865" s="1" customFormat="1" spans="5:6">
      <c r="E865" s="1">
        <f t="shared" si="26"/>
        <v>0</v>
      </c>
      <c r="F865" s="1">
        <f t="shared" si="27"/>
        <v>0</v>
      </c>
    </row>
    <row r="866" s="1" customFormat="1" spans="5:6">
      <c r="E866" s="1">
        <f t="shared" si="26"/>
        <v>0</v>
      </c>
      <c r="F866" s="1">
        <f t="shared" si="27"/>
        <v>0</v>
      </c>
    </row>
    <row r="867" s="1" customFormat="1" spans="5:6">
      <c r="E867" s="1">
        <f t="shared" si="26"/>
        <v>0</v>
      </c>
      <c r="F867" s="1">
        <f t="shared" si="27"/>
        <v>0</v>
      </c>
    </row>
    <row r="868" s="1" customFormat="1" spans="5:6">
      <c r="E868" s="1">
        <f t="shared" si="26"/>
        <v>0</v>
      </c>
      <c r="F868" s="1">
        <f t="shared" si="27"/>
        <v>0</v>
      </c>
    </row>
    <row r="869" s="1" customFormat="1" spans="5:6">
      <c r="E869" s="1">
        <f t="shared" si="26"/>
        <v>0</v>
      </c>
      <c r="F869" s="1">
        <f t="shared" si="27"/>
        <v>0</v>
      </c>
    </row>
    <row r="870" s="1" customFormat="1" spans="5:6">
      <c r="E870" s="1">
        <f t="shared" si="26"/>
        <v>0</v>
      </c>
      <c r="F870" s="1">
        <f t="shared" si="27"/>
        <v>0</v>
      </c>
    </row>
    <row r="871" s="1" customFormat="1" spans="5:6">
      <c r="E871" s="1">
        <f t="shared" si="26"/>
        <v>0</v>
      </c>
      <c r="F871" s="1">
        <f t="shared" si="27"/>
        <v>0</v>
      </c>
    </row>
    <row r="872" s="1" customFormat="1" spans="5:6">
      <c r="E872" s="1">
        <f t="shared" si="26"/>
        <v>0</v>
      </c>
      <c r="F872" s="1">
        <f t="shared" si="27"/>
        <v>0</v>
      </c>
    </row>
    <row r="873" s="1" customFormat="1" spans="5:6">
      <c r="E873" s="1">
        <f t="shared" si="26"/>
        <v>0</v>
      </c>
      <c r="F873" s="1">
        <f t="shared" si="27"/>
        <v>0</v>
      </c>
    </row>
    <row r="874" s="1" customFormat="1" spans="5:6">
      <c r="E874" s="1">
        <f t="shared" si="26"/>
        <v>0</v>
      </c>
      <c r="F874" s="1">
        <f t="shared" si="27"/>
        <v>0</v>
      </c>
    </row>
    <row r="875" s="1" customFormat="1" spans="5:6">
      <c r="E875" s="1">
        <f t="shared" si="26"/>
        <v>0</v>
      </c>
      <c r="F875" s="1">
        <f t="shared" si="27"/>
        <v>0</v>
      </c>
    </row>
    <row r="876" s="1" customFormat="1" spans="5:6">
      <c r="E876" s="1">
        <f t="shared" si="26"/>
        <v>0</v>
      </c>
      <c r="F876" s="1">
        <f t="shared" si="27"/>
        <v>0</v>
      </c>
    </row>
    <row r="877" s="1" customFormat="1" spans="5:6">
      <c r="E877" s="1">
        <f t="shared" si="26"/>
        <v>0</v>
      </c>
      <c r="F877" s="1">
        <f t="shared" si="27"/>
        <v>0</v>
      </c>
    </row>
    <row r="878" s="1" customFormat="1" spans="5:6">
      <c r="E878" s="1">
        <f t="shared" si="26"/>
        <v>0</v>
      </c>
      <c r="F878" s="1">
        <f t="shared" si="27"/>
        <v>0</v>
      </c>
    </row>
    <row r="879" s="1" customFormat="1" spans="5:6">
      <c r="E879" s="1">
        <f t="shared" si="26"/>
        <v>0</v>
      </c>
      <c r="F879" s="1">
        <f t="shared" si="27"/>
        <v>0</v>
      </c>
    </row>
    <row r="880" s="1" customFormat="1" spans="5:6">
      <c r="E880" s="1">
        <f t="shared" si="26"/>
        <v>0</v>
      </c>
      <c r="F880" s="1">
        <f t="shared" si="27"/>
        <v>0</v>
      </c>
    </row>
    <row r="881" s="1" customFormat="1" spans="5:6">
      <c r="E881" s="1">
        <f t="shared" si="26"/>
        <v>0</v>
      </c>
      <c r="F881" s="1">
        <f t="shared" si="27"/>
        <v>0</v>
      </c>
    </row>
    <row r="882" s="1" customFormat="1" spans="5:6">
      <c r="E882" s="1">
        <f t="shared" si="26"/>
        <v>0</v>
      </c>
      <c r="F882" s="1">
        <f t="shared" si="27"/>
        <v>0</v>
      </c>
    </row>
    <row r="883" s="1" customFormat="1" spans="5:6">
      <c r="E883" s="1">
        <f t="shared" si="26"/>
        <v>0</v>
      </c>
      <c r="F883" s="1">
        <f t="shared" si="27"/>
        <v>0</v>
      </c>
    </row>
    <row r="884" s="1" customFormat="1" spans="5:6">
      <c r="E884" s="1">
        <f t="shared" si="26"/>
        <v>0</v>
      </c>
      <c r="F884" s="1">
        <f t="shared" si="27"/>
        <v>0</v>
      </c>
    </row>
    <row r="885" s="1" customFormat="1" spans="5:6">
      <c r="E885" s="1">
        <f t="shared" si="26"/>
        <v>0</v>
      </c>
      <c r="F885" s="1">
        <f t="shared" si="27"/>
        <v>0</v>
      </c>
    </row>
    <row r="886" s="1" customFormat="1" spans="5:6">
      <c r="E886" s="1">
        <f t="shared" si="26"/>
        <v>0</v>
      </c>
      <c r="F886" s="1">
        <f t="shared" si="27"/>
        <v>0</v>
      </c>
    </row>
    <row r="887" s="1" customFormat="1" spans="5:6">
      <c r="E887" s="1">
        <f t="shared" si="26"/>
        <v>0</v>
      </c>
      <c r="F887" s="1">
        <f t="shared" si="27"/>
        <v>0</v>
      </c>
    </row>
    <row r="888" s="1" customFormat="1" spans="5:6">
      <c r="E888" s="1">
        <f t="shared" si="26"/>
        <v>0</v>
      </c>
      <c r="F888" s="1">
        <f t="shared" si="27"/>
        <v>0</v>
      </c>
    </row>
    <row r="889" s="1" customFormat="1" spans="5:6">
      <c r="E889" s="1">
        <f t="shared" si="26"/>
        <v>0</v>
      </c>
      <c r="F889" s="1">
        <f t="shared" si="27"/>
        <v>0</v>
      </c>
    </row>
    <row r="890" s="1" customFormat="1" spans="5:6">
      <c r="E890" s="1">
        <f t="shared" si="26"/>
        <v>0</v>
      </c>
      <c r="F890" s="1">
        <f t="shared" si="27"/>
        <v>0</v>
      </c>
    </row>
    <row r="891" s="1" customFormat="1" spans="5:6">
      <c r="E891" s="1">
        <f t="shared" si="26"/>
        <v>0</v>
      </c>
      <c r="F891" s="1">
        <f t="shared" si="27"/>
        <v>0</v>
      </c>
    </row>
    <row r="892" s="1" customFormat="1" spans="5:6">
      <c r="E892" s="1">
        <f t="shared" si="26"/>
        <v>0</v>
      </c>
      <c r="F892" s="1">
        <f t="shared" si="27"/>
        <v>0</v>
      </c>
    </row>
    <row r="893" s="1" customFormat="1" spans="5:6">
      <c r="E893" s="1">
        <f t="shared" si="26"/>
        <v>0</v>
      </c>
      <c r="F893" s="1">
        <f t="shared" si="27"/>
        <v>0</v>
      </c>
    </row>
    <row r="894" s="1" customFormat="1" spans="5:6">
      <c r="E894" s="1">
        <f t="shared" si="26"/>
        <v>0</v>
      </c>
      <c r="F894" s="1">
        <f t="shared" si="27"/>
        <v>0</v>
      </c>
    </row>
    <row r="895" s="1" customFormat="1" spans="5:6">
      <c r="E895" s="1">
        <f t="shared" si="26"/>
        <v>0</v>
      </c>
      <c r="F895" s="1">
        <f t="shared" si="27"/>
        <v>0</v>
      </c>
    </row>
    <row r="896" s="1" customFormat="1" spans="5:6">
      <c r="E896" s="1">
        <f t="shared" si="26"/>
        <v>0</v>
      </c>
      <c r="F896" s="1">
        <f t="shared" si="27"/>
        <v>0</v>
      </c>
    </row>
    <row r="897" s="1" customFormat="1" spans="5:6">
      <c r="E897" s="1">
        <f t="shared" si="26"/>
        <v>0</v>
      </c>
      <c r="F897" s="1">
        <f t="shared" si="27"/>
        <v>0</v>
      </c>
    </row>
    <row r="898" s="1" customFormat="1" spans="5:6">
      <c r="E898" s="1">
        <f t="shared" si="26"/>
        <v>0</v>
      </c>
      <c r="F898" s="1">
        <f t="shared" si="27"/>
        <v>0</v>
      </c>
    </row>
    <row r="899" s="1" customFormat="1" spans="5:6">
      <c r="E899" s="1">
        <f t="shared" ref="E899:E962" si="28">IF(B899="买入",C899/D899,IF(B899="卖出",-C899/D899,0))</f>
        <v>0</v>
      </c>
      <c r="F899" s="1">
        <f t="shared" ref="F899:F962" si="29">IF(B899="买入",-C899,IF(B899="卖出",C899,0))</f>
        <v>0</v>
      </c>
    </row>
    <row r="900" s="1" customFormat="1" spans="5:6">
      <c r="E900" s="1">
        <f t="shared" si="28"/>
        <v>0</v>
      </c>
      <c r="F900" s="1">
        <f t="shared" si="29"/>
        <v>0</v>
      </c>
    </row>
    <row r="901" s="1" customFormat="1" spans="5:6">
      <c r="E901" s="1">
        <f t="shared" si="28"/>
        <v>0</v>
      </c>
      <c r="F901" s="1">
        <f t="shared" si="29"/>
        <v>0</v>
      </c>
    </row>
    <row r="902" s="1" customFormat="1" spans="5:6">
      <c r="E902" s="1">
        <f t="shared" si="28"/>
        <v>0</v>
      </c>
      <c r="F902" s="1">
        <f t="shared" si="29"/>
        <v>0</v>
      </c>
    </row>
    <row r="903" s="1" customFormat="1" spans="5:6">
      <c r="E903" s="1">
        <f t="shared" si="28"/>
        <v>0</v>
      </c>
      <c r="F903" s="1">
        <f t="shared" si="29"/>
        <v>0</v>
      </c>
    </row>
    <row r="904" s="1" customFormat="1" spans="5:6">
      <c r="E904" s="1">
        <f t="shared" si="28"/>
        <v>0</v>
      </c>
      <c r="F904" s="1">
        <f t="shared" si="29"/>
        <v>0</v>
      </c>
    </row>
    <row r="905" s="1" customFormat="1" spans="5:6">
      <c r="E905" s="1">
        <f t="shared" si="28"/>
        <v>0</v>
      </c>
      <c r="F905" s="1">
        <f t="shared" si="29"/>
        <v>0</v>
      </c>
    </row>
    <row r="906" s="1" customFormat="1" spans="5:6">
      <c r="E906" s="1">
        <f t="shared" si="28"/>
        <v>0</v>
      </c>
      <c r="F906" s="1">
        <f t="shared" si="29"/>
        <v>0</v>
      </c>
    </row>
    <row r="907" s="1" customFormat="1" spans="5:6">
      <c r="E907" s="1">
        <f t="shared" si="28"/>
        <v>0</v>
      </c>
      <c r="F907" s="1">
        <f t="shared" si="29"/>
        <v>0</v>
      </c>
    </row>
    <row r="908" s="1" customFormat="1" spans="5:6">
      <c r="E908" s="1">
        <f t="shared" si="28"/>
        <v>0</v>
      </c>
      <c r="F908" s="1">
        <f t="shared" si="29"/>
        <v>0</v>
      </c>
    </row>
    <row r="909" s="1" customFormat="1" spans="5:6">
      <c r="E909" s="1">
        <f t="shared" si="28"/>
        <v>0</v>
      </c>
      <c r="F909" s="1">
        <f t="shared" si="29"/>
        <v>0</v>
      </c>
    </row>
    <row r="910" s="1" customFormat="1" spans="5:6">
      <c r="E910" s="1">
        <f t="shared" si="28"/>
        <v>0</v>
      </c>
      <c r="F910" s="1">
        <f t="shared" si="29"/>
        <v>0</v>
      </c>
    </row>
    <row r="911" s="1" customFormat="1" spans="5:6">
      <c r="E911" s="1">
        <f t="shared" si="28"/>
        <v>0</v>
      </c>
      <c r="F911" s="1">
        <f t="shared" si="29"/>
        <v>0</v>
      </c>
    </row>
    <row r="912" s="1" customFormat="1" spans="5:6">
      <c r="E912" s="1">
        <f t="shared" si="28"/>
        <v>0</v>
      </c>
      <c r="F912" s="1">
        <f t="shared" si="29"/>
        <v>0</v>
      </c>
    </row>
    <row r="913" s="1" customFormat="1" spans="5:6">
      <c r="E913" s="1">
        <f t="shared" si="28"/>
        <v>0</v>
      </c>
      <c r="F913" s="1">
        <f t="shared" si="29"/>
        <v>0</v>
      </c>
    </row>
    <row r="914" s="1" customFormat="1" spans="5:6">
      <c r="E914" s="1">
        <f t="shared" si="28"/>
        <v>0</v>
      </c>
      <c r="F914" s="1">
        <f t="shared" si="29"/>
        <v>0</v>
      </c>
    </row>
    <row r="915" s="1" customFormat="1" spans="5:6">
      <c r="E915" s="1">
        <f t="shared" si="28"/>
        <v>0</v>
      </c>
      <c r="F915" s="1">
        <f t="shared" si="29"/>
        <v>0</v>
      </c>
    </row>
    <row r="916" s="1" customFormat="1" spans="5:6">
      <c r="E916" s="1">
        <f t="shared" si="28"/>
        <v>0</v>
      </c>
      <c r="F916" s="1">
        <f t="shared" si="29"/>
        <v>0</v>
      </c>
    </row>
    <row r="917" s="1" customFormat="1" spans="5:6">
      <c r="E917" s="1">
        <f t="shared" si="28"/>
        <v>0</v>
      </c>
      <c r="F917" s="1">
        <f t="shared" si="29"/>
        <v>0</v>
      </c>
    </row>
    <row r="918" s="1" customFormat="1" spans="5:6">
      <c r="E918" s="1">
        <f t="shared" si="28"/>
        <v>0</v>
      </c>
      <c r="F918" s="1">
        <f t="shared" si="29"/>
        <v>0</v>
      </c>
    </row>
    <row r="919" s="1" customFormat="1" spans="5:6">
      <c r="E919" s="1">
        <f t="shared" si="28"/>
        <v>0</v>
      </c>
      <c r="F919" s="1">
        <f t="shared" si="29"/>
        <v>0</v>
      </c>
    </row>
    <row r="920" s="1" customFormat="1" spans="5:6">
      <c r="E920" s="1">
        <f t="shared" si="28"/>
        <v>0</v>
      </c>
      <c r="F920" s="1">
        <f t="shared" si="29"/>
        <v>0</v>
      </c>
    </row>
    <row r="921" s="1" customFormat="1" spans="5:6">
      <c r="E921" s="1">
        <f t="shared" si="28"/>
        <v>0</v>
      </c>
      <c r="F921" s="1">
        <f t="shared" si="29"/>
        <v>0</v>
      </c>
    </row>
    <row r="922" s="1" customFormat="1" spans="5:6">
      <c r="E922" s="1">
        <f t="shared" si="28"/>
        <v>0</v>
      </c>
      <c r="F922" s="1">
        <f t="shared" si="29"/>
        <v>0</v>
      </c>
    </row>
    <row r="923" s="1" customFormat="1" spans="5:6">
      <c r="E923" s="1">
        <f t="shared" si="28"/>
        <v>0</v>
      </c>
      <c r="F923" s="1">
        <f t="shared" si="29"/>
        <v>0</v>
      </c>
    </row>
    <row r="924" s="1" customFormat="1" spans="5:6">
      <c r="E924" s="1">
        <f t="shared" si="28"/>
        <v>0</v>
      </c>
      <c r="F924" s="1">
        <f t="shared" si="29"/>
        <v>0</v>
      </c>
    </row>
    <row r="925" s="1" customFormat="1" spans="5:6">
      <c r="E925" s="1">
        <f t="shared" si="28"/>
        <v>0</v>
      </c>
      <c r="F925" s="1">
        <f t="shared" si="29"/>
        <v>0</v>
      </c>
    </row>
    <row r="926" s="1" customFormat="1" spans="5:6">
      <c r="E926" s="1">
        <f t="shared" si="28"/>
        <v>0</v>
      </c>
      <c r="F926" s="1">
        <f t="shared" si="29"/>
        <v>0</v>
      </c>
    </row>
    <row r="927" s="1" customFormat="1" spans="5:6">
      <c r="E927" s="1">
        <f t="shared" si="28"/>
        <v>0</v>
      </c>
      <c r="F927" s="1">
        <f t="shared" si="29"/>
        <v>0</v>
      </c>
    </row>
    <row r="928" s="1" customFormat="1" spans="5:6">
      <c r="E928" s="1">
        <f t="shared" si="28"/>
        <v>0</v>
      </c>
      <c r="F928" s="1">
        <f t="shared" si="29"/>
        <v>0</v>
      </c>
    </row>
    <row r="929" s="1" customFormat="1" spans="5:6">
      <c r="E929" s="1">
        <f t="shared" si="28"/>
        <v>0</v>
      </c>
      <c r="F929" s="1">
        <f t="shared" si="29"/>
        <v>0</v>
      </c>
    </row>
    <row r="930" s="1" customFormat="1" spans="5:6">
      <c r="E930" s="1">
        <f t="shared" si="28"/>
        <v>0</v>
      </c>
      <c r="F930" s="1">
        <f t="shared" si="29"/>
        <v>0</v>
      </c>
    </row>
    <row r="931" s="1" customFormat="1" spans="5:6">
      <c r="E931" s="1">
        <f t="shared" si="28"/>
        <v>0</v>
      </c>
      <c r="F931" s="1">
        <f t="shared" si="29"/>
        <v>0</v>
      </c>
    </row>
    <row r="932" s="1" customFormat="1" spans="5:6">
      <c r="E932" s="1">
        <f t="shared" si="28"/>
        <v>0</v>
      </c>
      <c r="F932" s="1">
        <f t="shared" si="29"/>
        <v>0</v>
      </c>
    </row>
    <row r="933" s="1" customFormat="1" spans="5:6">
      <c r="E933" s="1">
        <f t="shared" si="28"/>
        <v>0</v>
      </c>
      <c r="F933" s="1">
        <f t="shared" si="29"/>
        <v>0</v>
      </c>
    </row>
    <row r="934" s="1" customFormat="1" spans="5:6">
      <c r="E934" s="1">
        <f t="shared" si="28"/>
        <v>0</v>
      </c>
      <c r="F934" s="1">
        <f t="shared" si="29"/>
        <v>0</v>
      </c>
    </row>
    <row r="935" s="1" customFormat="1" spans="5:6">
      <c r="E935" s="1">
        <f t="shared" si="28"/>
        <v>0</v>
      </c>
      <c r="F935" s="1">
        <f t="shared" si="29"/>
        <v>0</v>
      </c>
    </row>
    <row r="936" s="1" customFormat="1" spans="5:6">
      <c r="E936" s="1">
        <f t="shared" si="28"/>
        <v>0</v>
      </c>
      <c r="F936" s="1">
        <f t="shared" si="29"/>
        <v>0</v>
      </c>
    </row>
    <row r="937" s="1" customFormat="1" spans="5:6">
      <c r="E937" s="1">
        <f t="shared" si="28"/>
        <v>0</v>
      </c>
      <c r="F937" s="1">
        <f t="shared" si="29"/>
        <v>0</v>
      </c>
    </row>
    <row r="938" s="1" customFormat="1" spans="5:6">
      <c r="E938" s="1">
        <f t="shared" si="28"/>
        <v>0</v>
      </c>
      <c r="F938" s="1">
        <f t="shared" si="29"/>
        <v>0</v>
      </c>
    </row>
    <row r="939" s="1" customFormat="1" spans="5:6">
      <c r="E939" s="1">
        <f t="shared" si="28"/>
        <v>0</v>
      </c>
      <c r="F939" s="1">
        <f t="shared" si="29"/>
        <v>0</v>
      </c>
    </row>
    <row r="940" s="1" customFormat="1" spans="5:6">
      <c r="E940" s="1">
        <f t="shared" si="28"/>
        <v>0</v>
      </c>
      <c r="F940" s="1">
        <f t="shared" si="29"/>
        <v>0</v>
      </c>
    </row>
    <row r="941" s="1" customFormat="1" spans="5:6">
      <c r="E941" s="1">
        <f t="shared" si="28"/>
        <v>0</v>
      </c>
      <c r="F941" s="1">
        <f t="shared" si="29"/>
        <v>0</v>
      </c>
    </row>
    <row r="942" s="1" customFormat="1" spans="5:6">
      <c r="E942" s="1">
        <f t="shared" si="28"/>
        <v>0</v>
      </c>
      <c r="F942" s="1">
        <f t="shared" si="29"/>
        <v>0</v>
      </c>
    </row>
    <row r="943" s="1" customFormat="1" spans="5:6">
      <c r="E943" s="1">
        <f t="shared" si="28"/>
        <v>0</v>
      </c>
      <c r="F943" s="1">
        <f t="shared" si="29"/>
        <v>0</v>
      </c>
    </row>
    <row r="944" s="1" customFormat="1" spans="5:6">
      <c r="E944" s="1">
        <f t="shared" si="28"/>
        <v>0</v>
      </c>
      <c r="F944" s="1">
        <f t="shared" si="29"/>
        <v>0</v>
      </c>
    </row>
    <row r="945" s="1" customFormat="1" spans="5:6">
      <c r="E945" s="1">
        <f t="shared" si="28"/>
        <v>0</v>
      </c>
      <c r="F945" s="1">
        <f t="shared" si="29"/>
        <v>0</v>
      </c>
    </row>
    <row r="946" s="1" customFormat="1" spans="5:6">
      <c r="E946" s="1">
        <f t="shared" si="28"/>
        <v>0</v>
      </c>
      <c r="F946" s="1">
        <f t="shared" si="29"/>
        <v>0</v>
      </c>
    </row>
    <row r="947" s="1" customFormat="1" spans="5:6">
      <c r="E947" s="1">
        <f t="shared" si="28"/>
        <v>0</v>
      </c>
      <c r="F947" s="1">
        <f t="shared" si="29"/>
        <v>0</v>
      </c>
    </row>
    <row r="948" s="1" customFormat="1" spans="5:6">
      <c r="E948" s="1">
        <f t="shared" si="28"/>
        <v>0</v>
      </c>
      <c r="F948" s="1">
        <f t="shared" si="29"/>
        <v>0</v>
      </c>
    </row>
    <row r="949" s="1" customFormat="1" spans="5:6">
      <c r="E949" s="1">
        <f t="shared" si="28"/>
        <v>0</v>
      </c>
      <c r="F949" s="1">
        <f t="shared" si="29"/>
        <v>0</v>
      </c>
    </row>
    <row r="950" s="1" customFormat="1" spans="5:6">
      <c r="E950" s="1">
        <f t="shared" si="28"/>
        <v>0</v>
      </c>
      <c r="F950" s="1">
        <f t="shared" si="29"/>
        <v>0</v>
      </c>
    </row>
    <row r="951" s="1" customFormat="1" spans="5:6">
      <c r="E951" s="1">
        <f t="shared" si="28"/>
        <v>0</v>
      </c>
      <c r="F951" s="1">
        <f t="shared" si="29"/>
        <v>0</v>
      </c>
    </row>
    <row r="952" s="1" customFormat="1" spans="5:6">
      <c r="E952" s="1">
        <f t="shared" si="28"/>
        <v>0</v>
      </c>
      <c r="F952" s="1">
        <f t="shared" si="29"/>
        <v>0</v>
      </c>
    </row>
    <row r="953" s="1" customFormat="1" spans="5:6">
      <c r="E953" s="1">
        <f t="shared" si="28"/>
        <v>0</v>
      </c>
      <c r="F953" s="1">
        <f t="shared" si="29"/>
        <v>0</v>
      </c>
    </row>
    <row r="954" s="1" customFormat="1" spans="5:6">
      <c r="E954" s="1">
        <f t="shared" si="28"/>
        <v>0</v>
      </c>
      <c r="F954" s="1">
        <f t="shared" si="29"/>
        <v>0</v>
      </c>
    </row>
    <row r="955" s="1" customFormat="1" spans="5:6">
      <c r="E955" s="1">
        <f t="shared" si="28"/>
        <v>0</v>
      </c>
      <c r="F955" s="1">
        <f t="shared" si="29"/>
        <v>0</v>
      </c>
    </row>
    <row r="956" s="1" customFormat="1" spans="5:6">
      <c r="E956" s="1">
        <f t="shared" si="28"/>
        <v>0</v>
      </c>
      <c r="F956" s="1">
        <f t="shared" si="29"/>
        <v>0</v>
      </c>
    </row>
    <row r="957" s="1" customFormat="1" spans="5:6">
      <c r="E957" s="1">
        <f t="shared" si="28"/>
        <v>0</v>
      </c>
      <c r="F957" s="1">
        <f t="shared" si="29"/>
        <v>0</v>
      </c>
    </row>
    <row r="958" s="1" customFormat="1" spans="5:6">
      <c r="E958" s="1">
        <f t="shared" si="28"/>
        <v>0</v>
      </c>
      <c r="F958" s="1">
        <f t="shared" si="29"/>
        <v>0</v>
      </c>
    </row>
    <row r="959" s="1" customFormat="1" spans="5:6">
      <c r="E959" s="1">
        <f t="shared" si="28"/>
        <v>0</v>
      </c>
      <c r="F959" s="1">
        <f t="shared" si="29"/>
        <v>0</v>
      </c>
    </row>
    <row r="960" s="1" customFormat="1" spans="5:6">
      <c r="E960" s="1">
        <f t="shared" si="28"/>
        <v>0</v>
      </c>
      <c r="F960" s="1">
        <f t="shared" si="29"/>
        <v>0</v>
      </c>
    </row>
    <row r="961" s="1" customFormat="1" spans="5:6">
      <c r="E961" s="1">
        <f t="shared" si="28"/>
        <v>0</v>
      </c>
      <c r="F961" s="1">
        <f t="shared" si="29"/>
        <v>0</v>
      </c>
    </row>
    <row r="962" s="1" customFormat="1" spans="5:6">
      <c r="E962" s="1">
        <f t="shared" si="28"/>
        <v>0</v>
      </c>
      <c r="F962" s="1">
        <f t="shared" si="29"/>
        <v>0</v>
      </c>
    </row>
    <row r="963" s="1" customFormat="1" spans="5:6">
      <c r="E963" s="1">
        <f t="shared" ref="E963:E1002" si="30">IF(B963="买入",C963/D963,IF(B963="卖出",-C963/D963,0))</f>
        <v>0</v>
      </c>
      <c r="F963" s="1">
        <f t="shared" ref="F963:F1002" si="31">IF(B963="买入",-C963,IF(B963="卖出",C963,0))</f>
        <v>0</v>
      </c>
    </row>
    <row r="964" s="1" customFormat="1" spans="5:6">
      <c r="E964" s="1">
        <f t="shared" si="30"/>
        <v>0</v>
      </c>
      <c r="F964" s="1">
        <f t="shared" si="31"/>
        <v>0</v>
      </c>
    </row>
    <row r="965" s="1" customFormat="1" spans="5:6">
      <c r="E965" s="1">
        <f t="shared" si="30"/>
        <v>0</v>
      </c>
      <c r="F965" s="1">
        <f t="shared" si="31"/>
        <v>0</v>
      </c>
    </row>
    <row r="966" s="1" customFormat="1" spans="5:6">
      <c r="E966" s="1">
        <f t="shared" si="30"/>
        <v>0</v>
      </c>
      <c r="F966" s="1">
        <f t="shared" si="31"/>
        <v>0</v>
      </c>
    </row>
    <row r="967" s="1" customFormat="1" spans="5:6">
      <c r="E967" s="1">
        <f t="shared" si="30"/>
        <v>0</v>
      </c>
      <c r="F967" s="1">
        <f t="shared" si="31"/>
        <v>0</v>
      </c>
    </row>
    <row r="968" s="1" customFormat="1" spans="5:6">
      <c r="E968" s="1">
        <f t="shared" si="30"/>
        <v>0</v>
      </c>
      <c r="F968" s="1">
        <f t="shared" si="31"/>
        <v>0</v>
      </c>
    </row>
    <row r="969" s="1" customFormat="1" spans="5:6">
      <c r="E969" s="1">
        <f t="shared" si="30"/>
        <v>0</v>
      </c>
      <c r="F969" s="1">
        <f t="shared" si="31"/>
        <v>0</v>
      </c>
    </row>
    <row r="970" s="1" customFormat="1" spans="5:6">
      <c r="E970" s="1">
        <f t="shared" si="30"/>
        <v>0</v>
      </c>
      <c r="F970" s="1">
        <f t="shared" si="31"/>
        <v>0</v>
      </c>
    </row>
    <row r="971" s="1" customFormat="1" spans="5:6">
      <c r="E971" s="1">
        <f t="shared" si="30"/>
        <v>0</v>
      </c>
      <c r="F971" s="1">
        <f t="shared" si="31"/>
        <v>0</v>
      </c>
    </row>
    <row r="972" s="1" customFormat="1" spans="5:6">
      <c r="E972" s="1">
        <f t="shared" si="30"/>
        <v>0</v>
      </c>
      <c r="F972" s="1">
        <f t="shared" si="31"/>
        <v>0</v>
      </c>
    </row>
    <row r="973" s="1" customFormat="1" spans="5:6">
      <c r="E973" s="1">
        <f t="shared" si="30"/>
        <v>0</v>
      </c>
      <c r="F973" s="1">
        <f t="shared" si="31"/>
        <v>0</v>
      </c>
    </row>
    <row r="974" s="1" customFormat="1" spans="5:6">
      <c r="E974" s="1">
        <f t="shared" si="30"/>
        <v>0</v>
      </c>
      <c r="F974" s="1">
        <f t="shared" si="31"/>
        <v>0</v>
      </c>
    </row>
    <row r="975" s="1" customFormat="1" spans="5:6">
      <c r="E975" s="1">
        <f t="shared" si="30"/>
        <v>0</v>
      </c>
      <c r="F975" s="1">
        <f t="shared" si="31"/>
        <v>0</v>
      </c>
    </row>
    <row r="976" s="1" customFormat="1" spans="5:6">
      <c r="E976" s="1">
        <f t="shared" si="30"/>
        <v>0</v>
      </c>
      <c r="F976" s="1">
        <f t="shared" si="31"/>
        <v>0</v>
      </c>
    </row>
    <row r="977" s="1" customFormat="1" spans="5:6">
      <c r="E977" s="1">
        <f t="shared" si="30"/>
        <v>0</v>
      </c>
      <c r="F977" s="1">
        <f t="shared" si="31"/>
        <v>0</v>
      </c>
    </row>
    <row r="978" s="1" customFormat="1" spans="5:6">
      <c r="E978" s="1">
        <f t="shared" si="30"/>
        <v>0</v>
      </c>
      <c r="F978" s="1">
        <f t="shared" si="31"/>
        <v>0</v>
      </c>
    </row>
    <row r="979" s="1" customFormat="1" spans="5:6">
      <c r="E979" s="1">
        <f t="shared" si="30"/>
        <v>0</v>
      </c>
      <c r="F979" s="1">
        <f t="shared" si="31"/>
        <v>0</v>
      </c>
    </row>
    <row r="980" s="1" customFormat="1" spans="5:6">
      <c r="E980" s="1">
        <f t="shared" si="30"/>
        <v>0</v>
      </c>
      <c r="F980" s="1">
        <f t="shared" si="31"/>
        <v>0</v>
      </c>
    </row>
    <row r="981" s="1" customFormat="1" spans="5:6">
      <c r="E981" s="1">
        <f t="shared" si="30"/>
        <v>0</v>
      </c>
      <c r="F981" s="1">
        <f t="shared" si="31"/>
        <v>0</v>
      </c>
    </row>
    <row r="982" s="1" customFormat="1" spans="5:6">
      <c r="E982" s="1">
        <f t="shared" si="30"/>
        <v>0</v>
      </c>
      <c r="F982" s="1">
        <f t="shared" si="31"/>
        <v>0</v>
      </c>
    </row>
    <row r="983" s="1" customFormat="1" spans="5:6">
      <c r="E983" s="1">
        <f t="shared" si="30"/>
        <v>0</v>
      </c>
      <c r="F983" s="1">
        <f t="shared" si="31"/>
        <v>0</v>
      </c>
    </row>
    <row r="984" s="1" customFormat="1" spans="5:6">
      <c r="E984" s="1">
        <f t="shared" si="30"/>
        <v>0</v>
      </c>
      <c r="F984" s="1">
        <f t="shared" si="31"/>
        <v>0</v>
      </c>
    </row>
    <row r="985" s="1" customFormat="1" spans="5:6">
      <c r="E985" s="1">
        <f t="shared" si="30"/>
        <v>0</v>
      </c>
      <c r="F985" s="1">
        <f t="shared" si="31"/>
        <v>0</v>
      </c>
    </row>
    <row r="986" s="1" customFormat="1" spans="5:6">
      <c r="E986" s="1">
        <f t="shared" si="30"/>
        <v>0</v>
      </c>
      <c r="F986" s="1">
        <f t="shared" si="31"/>
        <v>0</v>
      </c>
    </row>
    <row r="987" s="1" customFormat="1" spans="5:6">
      <c r="E987" s="1">
        <f t="shared" si="30"/>
        <v>0</v>
      </c>
      <c r="F987" s="1">
        <f t="shared" si="31"/>
        <v>0</v>
      </c>
    </row>
    <row r="988" s="1" customFormat="1" spans="5:6">
      <c r="E988" s="1">
        <f t="shared" si="30"/>
        <v>0</v>
      </c>
      <c r="F988" s="1">
        <f t="shared" si="31"/>
        <v>0</v>
      </c>
    </row>
    <row r="989" s="1" customFormat="1" spans="5:6">
      <c r="E989" s="1">
        <f t="shared" si="30"/>
        <v>0</v>
      </c>
      <c r="F989" s="1">
        <f t="shared" si="31"/>
        <v>0</v>
      </c>
    </row>
    <row r="990" s="1" customFormat="1" spans="5:6">
      <c r="E990" s="1">
        <f t="shared" si="30"/>
        <v>0</v>
      </c>
      <c r="F990" s="1">
        <f t="shared" si="31"/>
        <v>0</v>
      </c>
    </row>
    <row r="991" s="1" customFormat="1" spans="5:6">
      <c r="E991" s="1">
        <f t="shared" si="30"/>
        <v>0</v>
      </c>
      <c r="F991" s="1">
        <f t="shared" si="31"/>
        <v>0</v>
      </c>
    </row>
    <row r="992" s="1" customFormat="1" spans="5:6">
      <c r="E992" s="1">
        <f t="shared" si="30"/>
        <v>0</v>
      </c>
      <c r="F992" s="1">
        <f t="shared" si="31"/>
        <v>0</v>
      </c>
    </row>
    <row r="993" s="1" customFormat="1" spans="5:6">
      <c r="E993" s="1">
        <f t="shared" si="30"/>
        <v>0</v>
      </c>
      <c r="F993" s="1">
        <f t="shared" si="31"/>
        <v>0</v>
      </c>
    </row>
    <row r="994" s="1" customFormat="1" spans="5:6">
      <c r="E994" s="1">
        <f t="shared" si="30"/>
        <v>0</v>
      </c>
      <c r="F994" s="1">
        <f t="shared" si="31"/>
        <v>0</v>
      </c>
    </row>
    <row r="995" s="1" customFormat="1" spans="5:6">
      <c r="E995" s="1">
        <f t="shared" si="30"/>
        <v>0</v>
      </c>
      <c r="F995" s="1">
        <f t="shared" si="31"/>
        <v>0</v>
      </c>
    </row>
    <row r="996" s="1" customFormat="1" spans="5:6">
      <c r="E996" s="1">
        <f t="shared" si="30"/>
        <v>0</v>
      </c>
      <c r="F996" s="1">
        <f t="shared" si="31"/>
        <v>0</v>
      </c>
    </row>
    <row r="997" s="1" customFormat="1" spans="5:6">
      <c r="E997" s="1">
        <f t="shared" si="30"/>
        <v>0</v>
      </c>
      <c r="F997" s="1">
        <f t="shared" si="31"/>
        <v>0</v>
      </c>
    </row>
    <row r="998" s="1" customFormat="1" spans="5:6">
      <c r="E998" s="1">
        <f t="shared" si="30"/>
        <v>0</v>
      </c>
      <c r="F998" s="1">
        <f t="shared" si="31"/>
        <v>0</v>
      </c>
    </row>
    <row r="999" s="1" customFormat="1" spans="5:6">
      <c r="E999" s="1">
        <f t="shared" si="30"/>
        <v>0</v>
      </c>
      <c r="F999" s="1">
        <f t="shared" si="31"/>
        <v>0</v>
      </c>
    </row>
    <row r="1000" s="1" customFormat="1" spans="5:6">
      <c r="E1000" s="1">
        <f t="shared" si="30"/>
        <v>0</v>
      </c>
      <c r="F1000" s="1">
        <f t="shared" si="31"/>
        <v>0</v>
      </c>
    </row>
    <row r="1001" s="1" customFormat="1" spans="5:6">
      <c r="E1001" s="1">
        <f t="shared" si="30"/>
        <v>0</v>
      </c>
      <c r="F1001" s="1">
        <f t="shared" si="31"/>
        <v>0</v>
      </c>
    </row>
    <row r="1002" s="1" customFormat="1" spans="5:6">
      <c r="E1002" s="1">
        <f t="shared" si="30"/>
        <v>0</v>
      </c>
      <c r="F1002" s="1">
        <f t="shared" si="31"/>
        <v>0</v>
      </c>
    </row>
  </sheetData>
  <dataValidations count="1">
    <dataValidation type="list" allowBlank="1" showInputMessage="1" showErrorMessage="1" sqref="B23 B1:B22 B24:B1048576">
      <formula1>"买入,卖出"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workbookViewId="0">
      <selection activeCell="H13" sqref="H13"/>
    </sheetView>
  </sheetViews>
  <sheetFormatPr defaultColWidth="9" defaultRowHeight="13.5"/>
  <cols>
    <col min="1" max="1" width="11.5" style="1"/>
    <col min="2" max="4" width="9" style="1"/>
    <col min="5" max="5" width="12.625" style="1"/>
    <col min="6" max="10" width="9" style="1"/>
    <col min="11" max="11" width="18.375" style="1" customWidth="1"/>
    <col min="12" max="12" width="10.875" style="1" customWidth="1"/>
    <col min="13" max="16384" width="9" style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12">
      <c r="A2" s="3">
        <v>46059</v>
      </c>
      <c r="B2" s="1" t="s">
        <v>6</v>
      </c>
      <c r="C2" s="1">
        <v>4987.2</v>
      </c>
      <c r="D2" s="1">
        <v>2.078</v>
      </c>
      <c r="E2" s="1">
        <f t="shared" ref="E2:E7" si="0">IF(B2="买入",C2/D2,IF(B2="卖出",-C2/D2,0))</f>
        <v>2400</v>
      </c>
      <c r="F2" s="1">
        <f t="shared" ref="F2:F7" si="1">IF(B2="买入",-C2,IF(B2="卖出",C2,0))</f>
        <v>-4987.2</v>
      </c>
    </row>
    <row r="3" s="1" customFormat="1" spans="1:12">
      <c r="A3" s="3">
        <v>46093</v>
      </c>
      <c r="B3" s="1" t="s">
        <v>6</v>
      </c>
      <c r="C3" s="1">
        <v>4852.8</v>
      </c>
      <c r="D3" s="1">
        <v>2.022</v>
      </c>
      <c r="E3" s="1">
        <f t="shared" si="0"/>
        <v>2400</v>
      </c>
      <c r="F3" s="1">
        <f t="shared" si="1"/>
        <v>-4852.8</v>
      </c>
    </row>
    <row r="4" s="1" customFormat="1" spans="1:12">
      <c r="A4" s="3">
        <v>46107</v>
      </c>
      <c r="B4" s="1" t="s">
        <v>6</v>
      </c>
      <c r="C4" s="1">
        <v>4902.5</v>
      </c>
      <c r="D4" s="1">
        <v>1.961</v>
      </c>
      <c r="E4" s="1">
        <f t="shared" si="0"/>
        <v>2500</v>
      </c>
      <c r="F4" s="1">
        <f t="shared" si="1"/>
        <v>-4902.5</v>
      </c>
    </row>
    <row r="5" s="1" customFormat="1" spans="1:12">
      <c r="A5" s="3">
        <v>46121</v>
      </c>
      <c r="B5" s="1" t="s">
        <v>6</v>
      </c>
      <c r="C5" s="1">
        <v>4874.4</v>
      </c>
      <c r="D5" s="1">
        <v>2.031</v>
      </c>
      <c r="E5" s="1">
        <f t="shared" si="0"/>
        <v>2400</v>
      </c>
      <c r="F5" s="1">
        <f t="shared" si="1"/>
        <v>-4874.4</v>
      </c>
      <c r="K5" s="1" t="s">
        <v>7</v>
      </c>
      <c r="L5" s="1">
        <f>SUMIFS(C2:C23,B2:B23,"买入")</f>
        <v>33434.1</v>
      </c>
    </row>
    <row r="6" s="1" customFormat="1" spans="1:12">
      <c r="A6" s="3">
        <v>46135</v>
      </c>
      <c r="B6" s="1" t="s">
        <v>6</v>
      </c>
      <c r="C6" s="1">
        <v>4954.2</v>
      </c>
      <c r="D6" s="1">
        <v>2.154</v>
      </c>
      <c r="E6" s="1">
        <f t="shared" si="0"/>
        <v>2300</v>
      </c>
      <c r="F6" s="1">
        <f t="shared" si="1"/>
        <v>-4954.2</v>
      </c>
      <c r="K6" s="1" t="s">
        <v>8</v>
      </c>
      <c r="L6" s="1">
        <f>SUMIFS(C2:C23,B2:B23,"卖出")</f>
        <v>40976</v>
      </c>
    </row>
    <row r="7" s="1" customFormat="1" spans="1:12">
      <c r="A7" s="3">
        <v>46140</v>
      </c>
      <c r="B7" s="1" t="s">
        <v>16</v>
      </c>
      <c r="C7" s="1">
        <v>2200</v>
      </c>
      <c r="D7" s="4">
        <v>2.2</v>
      </c>
      <c r="E7" s="1">
        <f t="shared" si="0"/>
        <v>-1000</v>
      </c>
      <c r="F7" s="1">
        <f t="shared" si="1"/>
        <v>2200</v>
      </c>
    </row>
    <row r="8" s="1" customFormat="1" spans="1:12">
      <c r="A8" s="3">
        <v>46149</v>
      </c>
      <c r="B8" s="1" t="s">
        <v>6</v>
      </c>
      <c r="C8" s="1">
        <v>4606</v>
      </c>
      <c r="D8" s="1">
        <v>2.303</v>
      </c>
      <c r="E8" s="1">
        <f>IF(B8="买入",C8/D8,IF(B8="卖出",-C8/D8,0))</f>
        <v>2000</v>
      </c>
      <c r="F8" s="1">
        <f>IF(B8="买入",-C8,IF(B8="卖出",C8,0))</f>
        <v>-4606</v>
      </c>
      <c r="K8" s="1" t="s">
        <v>9</v>
      </c>
      <c r="L8" s="1">
        <f>L6-L5</f>
        <v>7541.89999999999</v>
      </c>
    </row>
    <row r="9" s="1" customFormat="1" spans="1:12">
      <c r="A9" s="3">
        <v>46163</v>
      </c>
      <c r="B9" s="1" t="s">
        <v>6</v>
      </c>
      <c r="C9" s="1">
        <v>4257</v>
      </c>
      <c r="D9" s="1">
        <v>2.365</v>
      </c>
      <c r="E9" s="1">
        <f>IF(B9="买入",C9/D9,IF(B9="卖出",-C9/D9,0))</f>
        <v>1800</v>
      </c>
      <c r="F9" s="1">
        <f>IF(B9="买入",-C9,IF(B9="卖出",C9,0))</f>
        <v>-4257</v>
      </c>
      <c r="K9" s="1" t="s">
        <v>10</v>
      </c>
      <c r="L9" s="5">
        <f>IFERROR(L8/L5,0)</f>
        <v>0.22557508651347</v>
      </c>
    </row>
    <row r="10" s="1" customFormat="1" spans="1:12">
      <c r="A10" s="3"/>
      <c r="D10" s="4"/>
      <c r="E10" s="1">
        <f>IF(B10="买入",C10/D10,IF(B10="卖出",-C10/D10,0))</f>
        <v>0</v>
      </c>
      <c r="F10" s="1">
        <f>IF(B10="买入",-C10,IF(B10="卖出",C10,0))</f>
        <v>0</v>
      </c>
    </row>
    <row r="11" s="1" customFormat="1" spans="1:12">
      <c r="A11" s="3">
        <f ca="1">TODAY()</f>
        <v>46175</v>
      </c>
      <c r="B11" s="1" t="s">
        <v>16</v>
      </c>
      <c r="C11" s="1">
        <v>38776</v>
      </c>
      <c r="D11" s="4">
        <v>2.62</v>
      </c>
      <c r="E11" s="1">
        <f t="shared" ref="E11:E19" si="2">IF(B11="买入",C11/D11,IF(B11="卖出",-C11/D11,0))</f>
        <v>-14800</v>
      </c>
      <c r="F11" s="1">
        <f t="shared" ref="F11:F65" si="3">IF(B11="买入",-C11,IF(B11="卖出",C11,0))</f>
        <v>38776</v>
      </c>
    </row>
    <row r="12" s="1" customFormat="1" spans="1:12">
      <c r="A12" s="3"/>
      <c r="B12" s="1"/>
      <c r="C12" s="1"/>
      <c r="D12" s="1"/>
      <c r="E12" s="1">
        <f t="shared" si="2"/>
        <v>0</v>
      </c>
      <c r="F12" s="1">
        <f t="shared" ref="F11:F19" si="4">IF(B12="买入",-C12,IF(B12="卖出",C12,0))</f>
        <v>0</v>
      </c>
      <c r="K12" s="1" t="s">
        <v>11</v>
      </c>
      <c r="L12" s="1">
        <f ca="1">TODAY()-A2</f>
        <v>116</v>
      </c>
    </row>
    <row r="13" s="1" customFormat="1" spans="1:12">
      <c r="A13" s="3"/>
      <c r="B13" s="1"/>
      <c r="C13" s="1"/>
      <c r="D13" s="1"/>
      <c r="E13" s="1">
        <f t="shared" si="2"/>
        <v>0</v>
      </c>
      <c r="F13" s="1">
        <f t="shared" si="4"/>
        <v>0</v>
      </c>
      <c r="K13" s="1" t="s">
        <v>12</v>
      </c>
      <c r="L13" s="5" t="e">
        <f ca="1">XIRR(F2:F11,A2:A11)</f>
        <v>#NUM!</v>
      </c>
    </row>
    <row r="14" s="1" customFormat="1" spans="1:12">
      <c r="A14" s="3"/>
      <c r="B14" s="1"/>
      <c r="C14" s="1"/>
      <c r="D14" s="1"/>
      <c r="E14" s="1">
        <f t="shared" si="2"/>
        <v>0</v>
      </c>
      <c r="F14" s="1">
        <f t="shared" si="4"/>
        <v>0</v>
      </c>
      <c r="L14" s="5"/>
    </row>
    <row r="15" s="1" customFormat="1" spans="1:12">
      <c r="A15" s="3"/>
      <c r="B15" s="1"/>
      <c r="C15" s="1"/>
      <c r="D15" s="1"/>
      <c r="E15" s="1">
        <f t="shared" si="2"/>
        <v>0</v>
      </c>
      <c r="F15" s="1">
        <f t="shared" si="4"/>
        <v>0</v>
      </c>
    </row>
    <row r="16" s="1" customFormat="1" spans="1:12">
      <c r="A16" s="3"/>
      <c r="B16" s="1"/>
      <c r="C16" s="1"/>
      <c r="D16" s="1"/>
      <c r="E16" s="1">
        <f t="shared" si="2"/>
        <v>0</v>
      </c>
      <c r="F16" s="1">
        <f t="shared" si="4"/>
        <v>0</v>
      </c>
      <c r="K16" s="1" t="s">
        <v>14</v>
      </c>
      <c r="L16" s="1">
        <f>IF(L14&gt;=0.3,20000,IF(L14&gt;=0.2,15000,IF(L14&gt;=0.1,10000,5000)))</f>
        <v>5000</v>
      </c>
    </row>
    <row r="17" s="1" customFormat="1" spans="1:12">
      <c r="A17" s="3"/>
      <c r="B17" s="1"/>
      <c r="C17" s="1"/>
      <c r="D17" s="1"/>
      <c r="E17" s="1">
        <f t="shared" si="2"/>
        <v>0</v>
      </c>
      <c r="F17" s="1">
        <f t="shared" si="4"/>
        <v>0</v>
      </c>
      <c r="K17" s="1" t="s">
        <v>15</v>
      </c>
      <c r="L17" s="1" t="str">
        <f>IF(L14&gt;=0.3,"加仓3倍",IF(L14&gt;=0.2,"加仓2倍",IF(L14&gt;=0.1,"加仓1倍",IF(L9&gt;=0.3,"卖利润30%",IF(L9&gt;=0.2,"卖利润20%",IF(L9&gt;=0.1,"卖利润10%","继续定投"))))))</f>
        <v>卖利润20%</v>
      </c>
    </row>
    <row r="18" s="1" customFormat="1" spans="1:12">
      <c r="A18" s="3"/>
      <c r="B18" s="1"/>
      <c r="C18" s="1"/>
      <c r="D18" s="1"/>
      <c r="E18" s="1">
        <f t="shared" si="2"/>
        <v>0</v>
      </c>
      <c r="F18" s="1">
        <f t="shared" si="4"/>
        <v>0</v>
      </c>
    </row>
    <row r="19" s="1" customFormat="1" spans="1:12">
      <c r="A19" s="3"/>
      <c r="B19" s="1"/>
      <c r="C19" s="1"/>
      <c r="D19" s="1"/>
      <c r="E19" s="1">
        <f t="shared" si="2"/>
        <v>0</v>
      </c>
      <c r="F19" s="1">
        <f t="shared" si="4"/>
        <v>0</v>
      </c>
    </row>
    <row r="20" s="1" customFormat="1" spans="1:12">
      <c r="A20" s="3"/>
    </row>
    <row r="21" s="1" customFormat="1" spans="1:12">
      <c r="A21" s="3"/>
    </row>
    <row r="22" s="1" customFormat="1" spans="1:12">
      <c r="A22" s="3"/>
    </row>
    <row r="23" s="1" customFormat="1" spans="1:12">
      <c r="A23" s="3"/>
    </row>
    <row r="24" s="1" customFormat="1" spans="1:12">
      <c r="E24" s="1">
        <f t="shared" ref="E11:E65" si="5">IF(B24="买入",C24/D24,IF(B24="卖出",-C24/D24,0))</f>
        <v>0</v>
      </c>
      <c r="F24" s="1">
        <f t="shared" si="3"/>
        <v>0</v>
      </c>
    </row>
    <row r="25" s="1" customFormat="1" spans="1:12">
      <c r="E25" s="1">
        <f t="shared" si="5"/>
        <v>0</v>
      </c>
      <c r="F25" s="1">
        <f t="shared" si="3"/>
        <v>0</v>
      </c>
    </row>
    <row r="26" s="1" customFormat="1" spans="1:12">
      <c r="E26" s="1">
        <f t="shared" si="5"/>
        <v>0</v>
      </c>
      <c r="F26" s="1">
        <f t="shared" si="3"/>
        <v>0</v>
      </c>
    </row>
    <row r="27" s="1" customFormat="1" spans="1:12">
      <c r="E27" s="1">
        <f t="shared" si="5"/>
        <v>0</v>
      </c>
      <c r="F27" s="1">
        <f t="shared" si="3"/>
        <v>0</v>
      </c>
    </row>
    <row r="28" s="1" customFormat="1" spans="1:12">
      <c r="E28" s="1">
        <f t="shared" si="5"/>
        <v>0</v>
      </c>
      <c r="F28" s="1">
        <f t="shared" si="3"/>
        <v>0</v>
      </c>
    </row>
    <row r="29" s="1" customFormat="1" spans="1:12">
      <c r="E29" s="1">
        <f t="shared" si="5"/>
        <v>0</v>
      </c>
      <c r="F29" s="1">
        <f t="shared" si="3"/>
        <v>0</v>
      </c>
    </row>
    <row r="30" s="1" customFormat="1" spans="1:12">
      <c r="E30" s="1">
        <f t="shared" si="5"/>
        <v>0</v>
      </c>
      <c r="F30" s="1">
        <f t="shared" si="3"/>
        <v>0</v>
      </c>
    </row>
    <row r="31" s="1" customFormat="1" spans="1:12">
      <c r="E31" s="1">
        <f t="shared" si="5"/>
        <v>0</v>
      </c>
      <c r="F31" s="1">
        <f t="shared" si="3"/>
        <v>0</v>
      </c>
    </row>
    <row r="32" s="1" customFormat="1" spans="1:12">
      <c r="E32" s="1">
        <f t="shared" si="5"/>
        <v>0</v>
      </c>
      <c r="F32" s="1">
        <f t="shared" si="3"/>
        <v>0</v>
      </c>
    </row>
    <row r="33" s="1" customFormat="1" spans="5:6">
      <c r="E33" s="1">
        <f t="shared" si="5"/>
        <v>0</v>
      </c>
      <c r="F33" s="1">
        <f t="shared" si="3"/>
        <v>0</v>
      </c>
    </row>
    <row r="34" s="1" customFormat="1" spans="5:6">
      <c r="E34" s="1">
        <f t="shared" si="5"/>
        <v>0</v>
      </c>
      <c r="F34" s="1">
        <f t="shared" si="3"/>
        <v>0</v>
      </c>
    </row>
    <row r="35" s="1" customFormat="1" spans="5:6">
      <c r="E35" s="1">
        <f t="shared" si="5"/>
        <v>0</v>
      </c>
      <c r="F35" s="1">
        <f t="shared" si="3"/>
        <v>0</v>
      </c>
    </row>
    <row r="36" s="1" customFormat="1" spans="5:6">
      <c r="E36" s="1">
        <f t="shared" si="5"/>
        <v>0</v>
      </c>
      <c r="F36" s="1">
        <f t="shared" si="3"/>
        <v>0</v>
      </c>
    </row>
    <row r="37" s="1" customFormat="1" spans="5:6">
      <c r="E37" s="1">
        <f t="shared" si="5"/>
        <v>0</v>
      </c>
      <c r="F37" s="1">
        <f t="shared" si="3"/>
        <v>0</v>
      </c>
    </row>
    <row r="38" s="1" customFormat="1" spans="5:6">
      <c r="E38" s="1">
        <f t="shared" si="5"/>
        <v>0</v>
      </c>
      <c r="F38" s="1">
        <f t="shared" si="3"/>
        <v>0</v>
      </c>
    </row>
    <row r="39" s="1" customFormat="1" spans="5:6">
      <c r="E39" s="1">
        <f t="shared" si="5"/>
        <v>0</v>
      </c>
      <c r="F39" s="1">
        <f t="shared" si="3"/>
        <v>0</v>
      </c>
    </row>
    <row r="40" s="1" customFormat="1" spans="5:6">
      <c r="E40" s="1">
        <f t="shared" si="5"/>
        <v>0</v>
      </c>
      <c r="F40" s="1">
        <f t="shared" si="3"/>
        <v>0</v>
      </c>
    </row>
    <row r="41" s="1" customFormat="1" spans="5:6">
      <c r="E41" s="1">
        <f t="shared" si="5"/>
        <v>0</v>
      </c>
      <c r="F41" s="1">
        <f t="shared" si="3"/>
        <v>0</v>
      </c>
    </row>
    <row r="42" s="1" customFormat="1" spans="5:6">
      <c r="E42" s="1">
        <f t="shared" si="5"/>
        <v>0</v>
      </c>
      <c r="F42" s="1">
        <f t="shared" si="3"/>
        <v>0</v>
      </c>
    </row>
    <row r="43" s="1" customFormat="1" spans="5:6">
      <c r="E43" s="1">
        <f t="shared" si="5"/>
        <v>0</v>
      </c>
      <c r="F43" s="1">
        <f t="shared" si="3"/>
        <v>0</v>
      </c>
    </row>
    <row r="44" s="1" customFormat="1" spans="5:6">
      <c r="E44" s="1">
        <f t="shared" si="5"/>
        <v>0</v>
      </c>
      <c r="F44" s="1">
        <f t="shared" si="3"/>
        <v>0</v>
      </c>
    </row>
    <row r="45" s="1" customFormat="1" spans="5:6">
      <c r="E45" s="1">
        <f t="shared" si="5"/>
        <v>0</v>
      </c>
      <c r="F45" s="1">
        <f t="shared" si="3"/>
        <v>0</v>
      </c>
    </row>
    <row r="46" s="1" customFormat="1" spans="5:6">
      <c r="E46" s="1">
        <f t="shared" si="5"/>
        <v>0</v>
      </c>
      <c r="F46" s="1">
        <f t="shared" si="3"/>
        <v>0</v>
      </c>
    </row>
    <row r="47" s="1" customFormat="1" spans="5:6">
      <c r="E47" s="1">
        <f t="shared" si="5"/>
        <v>0</v>
      </c>
      <c r="F47" s="1">
        <f t="shared" si="3"/>
        <v>0</v>
      </c>
    </row>
    <row r="48" s="1" customFormat="1" spans="5:6">
      <c r="E48" s="1">
        <f t="shared" si="5"/>
        <v>0</v>
      </c>
      <c r="F48" s="1">
        <f t="shared" si="3"/>
        <v>0</v>
      </c>
    </row>
    <row r="49" s="1" customFormat="1" spans="5:6">
      <c r="E49" s="1">
        <f t="shared" si="5"/>
        <v>0</v>
      </c>
      <c r="F49" s="1">
        <f t="shared" si="3"/>
        <v>0</v>
      </c>
    </row>
    <row r="50" s="1" customFormat="1" spans="5:6">
      <c r="E50" s="1">
        <f t="shared" si="5"/>
        <v>0</v>
      </c>
      <c r="F50" s="1">
        <f t="shared" si="3"/>
        <v>0</v>
      </c>
    </row>
    <row r="51" s="1" customFormat="1" spans="5:6">
      <c r="E51" s="1">
        <f t="shared" si="5"/>
        <v>0</v>
      </c>
      <c r="F51" s="1">
        <f t="shared" si="3"/>
        <v>0</v>
      </c>
    </row>
    <row r="52" s="1" customFormat="1" spans="5:6">
      <c r="E52" s="1">
        <f t="shared" si="5"/>
        <v>0</v>
      </c>
      <c r="F52" s="1">
        <f t="shared" si="3"/>
        <v>0</v>
      </c>
    </row>
    <row r="53" s="1" customFormat="1" spans="5:6">
      <c r="E53" s="1">
        <f t="shared" si="5"/>
        <v>0</v>
      </c>
      <c r="F53" s="1">
        <f t="shared" si="3"/>
        <v>0</v>
      </c>
    </row>
    <row r="54" s="1" customFormat="1" spans="5:6">
      <c r="E54" s="1">
        <f t="shared" si="5"/>
        <v>0</v>
      </c>
      <c r="F54" s="1">
        <f t="shared" si="3"/>
        <v>0</v>
      </c>
    </row>
    <row r="55" s="1" customFormat="1" spans="5:6">
      <c r="E55" s="1">
        <f t="shared" si="5"/>
        <v>0</v>
      </c>
      <c r="F55" s="1">
        <f t="shared" si="3"/>
        <v>0</v>
      </c>
    </row>
    <row r="56" s="1" customFormat="1" spans="5:6">
      <c r="E56" s="1">
        <f t="shared" si="5"/>
        <v>0</v>
      </c>
      <c r="F56" s="1">
        <f t="shared" si="3"/>
        <v>0</v>
      </c>
    </row>
    <row r="57" s="1" customFormat="1" spans="5:6">
      <c r="E57" s="1">
        <f t="shared" si="5"/>
        <v>0</v>
      </c>
      <c r="F57" s="1">
        <f t="shared" si="3"/>
        <v>0</v>
      </c>
    </row>
    <row r="58" s="1" customFormat="1" spans="5:6">
      <c r="E58" s="1">
        <f t="shared" si="5"/>
        <v>0</v>
      </c>
      <c r="F58" s="1">
        <f t="shared" si="3"/>
        <v>0</v>
      </c>
    </row>
    <row r="59" s="1" customFormat="1" spans="5:6">
      <c r="E59" s="1">
        <f t="shared" si="5"/>
        <v>0</v>
      </c>
      <c r="F59" s="1">
        <f t="shared" si="3"/>
        <v>0</v>
      </c>
    </row>
    <row r="60" s="1" customFormat="1" spans="5:6">
      <c r="E60" s="1">
        <f t="shared" si="5"/>
        <v>0</v>
      </c>
      <c r="F60" s="1">
        <f t="shared" si="3"/>
        <v>0</v>
      </c>
    </row>
    <row r="61" s="1" customFormat="1" spans="5:6">
      <c r="E61" s="1">
        <f t="shared" si="5"/>
        <v>0</v>
      </c>
      <c r="F61" s="1">
        <f t="shared" si="3"/>
        <v>0</v>
      </c>
    </row>
    <row r="62" s="1" customFormat="1" spans="5:6">
      <c r="E62" s="1">
        <f t="shared" si="5"/>
        <v>0</v>
      </c>
      <c r="F62" s="1">
        <f t="shared" si="3"/>
        <v>0</v>
      </c>
    </row>
    <row r="63" s="1" customFormat="1" spans="5:6">
      <c r="E63" s="1">
        <f t="shared" si="5"/>
        <v>0</v>
      </c>
      <c r="F63" s="1">
        <f t="shared" si="3"/>
        <v>0</v>
      </c>
    </row>
    <row r="64" s="1" customFormat="1" spans="5:6">
      <c r="E64" s="1">
        <f t="shared" si="5"/>
        <v>0</v>
      </c>
      <c r="F64" s="1">
        <f t="shared" si="3"/>
        <v>0</v>
      </c>
    </row>
    <row r="65" s="1" customFormat="1" spans="5:6">
      <c r="E65" s="1">
        <f t="shared" si="5"/>
        <v>0</v>
      </c>
      <c r="F65" s="1">
        <f t="shared" si="3"/>
        <v>0</v>
      </c>
    </row>
    <row r="66" s="1" customFormat="1" spans="5:6">
      <c r="E66" s="1">
        <f t="shared" ref="E66:E129" si="6">IF(B66="买入",C66/D66,IF(B66="卖出",-C66/D66,0))</f>
        <v>0</v>
      </c>
      <c r="F66" s="1">
        <f t="shared" ref="F66:F129" si="7">IF(B66="买入",-C66,IF(B66="卖出",C66,0))</f>
        <v>0</v>
      </c>
    </row>
    <row r="67" s="1" customFormat="1" spans="5:6">
      <c r="E67" s="1">
        <f t="shared" si="6"/>
        <v>0</v>
      </c>
      <c r="F67" s="1">
        <f t="shared" si="7"/>
        <v>0</v>
      </c>
    </row>
    <row r="68" s="1" customFormat="1" spans="5:6">
      <c r="E68" s="1">
        <f t="shared" si="6"/>
        <v>0</v>
      </c>
      <c r="F68" s="1">
        <f t="shared" si="7"/>
        <v>0</v>
      </c>
    </row>
    <row r="69" s="1" customFormat="1" spans="5:6">
      <c r="E69" s="1">
        <f t="shared" si="6"/>
        <v>0</v>
      </c>
      <c r="F69" s="1">
        <f t="shared" si="7"/>
        <v>0</v>
      </c>
    </row>
    <row r="70" s="1" customFormat="1" spans="5:6">
      <c r="E70" s="1">
        <f t="shared" si="6"/>
        <v>0</v>
      </c>
      <c r="F70" s="1">
        <f t="shared" si="7"/>
        <v>0</v>
      </c>
    </row>
    <row r="71" s="1" customFormat="1" spans="5:6">
      <c r="E71" s="1">
        <f t="shared" si="6"/>
        <v>0</v>
      </c>
      <c r="F71" s="1">
        <f t="shared" si="7"/>
        <v>0</v>
      </c>
    </row>
    <row r="72" s="1" customFormat="1" spans="5:6">
      <c r="E72" s="1">
        <f t="shared" si="6"/>
        <v>0</v>
      </c>
      <c r="F72" s="1">
        <f t="shared" si="7"/>
        <v>0</v>
      </c>
    </row>
    <row r="73" s="1" customFormat="1" spans="5:6">
      <c r="E73" s="1">
        <f t="shared" si="6"/>
        <v>0</v>
      </c>
      <c r="F73" s="1">
        <f t="shared" si="7"/>
        <v>0</v>
      </c>
    </row>
    <row r="74" s="1" customFormat="1" spans="5:6">
      <c r="E74" s="1">
        <f t="shared" si="6"/>
        <v>0</v>
      </c>
      <c r="F74" s="1">
        <f t="shared" si="7"/>
        <v>0</v>
      </c>
    </row>
    <row r="75" s="1" customFormat="1" spans="5:6">
      <c r="E75" s="1">
        <f t="shared" si="6"/>
        <v>0</v>
      </c>
      <c r="F75" s="1">
        <f t="shared" si="7"/>
        <v>0</v>
      </c>
    </row>
    <row r="76" s="1" customFormat="1" spans="5:6">
      <c r="E76" s="1">
        <f t="shared" si="6"/>
        <v>0</v>
      </c>
      <c r="F76" s="1">
        <f t="shared" si="7"/>
        <v>0</v>
      </c>
    </row>
    <row r="77" s="1" customFormat="1" spans="5:6">
      <c r="E77" s="1">
        <f t="shared" si="6"/>
        <v>0</v>
      </c>
      <c r="F77" s="1">
        <f t="shared" si="7"/>
        <v>0</v>
      </c>
    </row>
    <row r="78" s="1" customFormat="1" spans="5:6">
      <c r="E78" s="1">
        <f t="shared" si="6"/>
        <v>0</v>
      </c>
      <c r="F78" s="1">
        <f t="shared" si="7"/>
        <v>0</v>
      </c>
    </row>
    <row r="79" s="1" customFormat="1" spans="5:6">
      <c r="E79" s="1">
        <f t="shared" si="6"/>
        <v>0</v>
      </c>
      <c r="F79" s="1">
        <f t="shared" si="7"/>
        <v>0</v>
      </c>
    </row>
    <row r="80" s="1" customFormat="1" spans="5:6">
      <c r="E80" s="1">
        <f t="shared" si="6"/>
        <v>0</v>
      </c>
      <c r="F80" s="1">
        <f t="shared" si="7"/>
        <v>0</v>
      </c>
    </row>
    <row r="81" s="1" customFormat="1" spans="5:6">
      <c r="E81" s="1">
        <f t="shared" si="6"/>
        <v>0</v>
      </c>
      <c r="F81" s="1">
        <f t="shared" si="7"/>
        <v>0</v>
      </c>
    </row>
    <row r="82" s="1" customFormat="1" spans="5:6">
      <c r="E82" s="1">
        <f t="shared" si="6"/>
        <v>0</v>
      </c>
      <c r="F82" s="1">
        <f t="shared" si="7"/>
        <v>0</v>
      </c>
    </row>
    <row r="83" s="1" customFormat="1" spans="5:6">
      <c r="E83" s="1">
        <f t="shared" si="6"/>
        <v>0</v>
      </c>
      <c r="F83" s="1">
        <f t="shared" si="7"/>
        <v>0</v>
      </c>
    </row>
    <row r="84" s="1" customFormat="1" spans="5:6">
      <c r="E84" s="1">
        <f t="shared" si="6"/>
        <v>0</v>
      </c>
      <c r="F84" s="1">
        <f t="shared" si="7"/>
        <v>0</v>
      </c>
    </row>
    <row r="85" s="1" customFormat="1" spans="5:6">
      <c r="E85" s="1">
        <f t="shared" si="6"/>
        <v>0</v>
      </c>
      <c r="F85" s="1">
        <f t="shared" si="7"/>
        <v>0</v>
      </c>
    </row>
    <row r="86" s="1" customFormat="1" spans="5:6">
      <c r="E86" s="1">
        <f t="shared" si="6"/>
        <v>0</v>
      </c>
      <c r="F86" s="1">
        <f t="shared" si="7"/>
        <v>0</v>
      </c>
    </row>
    <row r="87" s="1" customFormat="1" spans="5:6">
      <c r="E87" s="1">
        <f t="shared" si="6"/>
        <v>0</v>
      </c>
      <c r="F87" s="1">
        <f t="shared" si="7"/>
        <v>0</v>
      </c>
    </row>
    <row r="88" s="1" customFormat="1" spans="5:6">
      <c r="E88" s="1">
        <f t="shared" si="6"/>
        <v>0</v>
      </c>
      <c r="F88" s="1">
        <f t="shared" si="7"/>
        <v>0</v>
      </c>
    </row>
    <row r="89" s="1" customFormat="1" spans="5:6">
      <c r="E89" s="1">
        <f t="shared" si="6"/>
        <v>0</v>
      </c>
      <c r="F89" s="1">
        <f t="shared" si="7"/>
        <v>0</v>
      </c>
    </row>
    <row r="90" s="1" customFormat="1" spans="5:6">
      <c r="E90" s="1">
        <f t="shared" si="6"/>
        <v>0</v>
      </c>
      <c r="F90" s="1">
        <f t="shared" si="7"/>
        <v>0</v>
      </c>
    </row>
    <row r="91" s="1" customFormat="1" spans="5:6">
      <c r="E91" s="1">
        <f t="shared" si="6"/>
        <v>0</v>
      </c>
      <c r="F91" s="1">
        <f t="shared" si="7"/>
        <v>0</v>
      </c>
    </row>
    <row r="92" s="1" customFormat="1" spans="5:6">
      <c r="E92" s="1">
        <f t="shared" si="6"/>
        <v>0</v>
      </c>
      <c r="F92" s="1">
        <f t="shared" si="7"/>
        <v>0</v>
      </c>
    </row>
    <row r="93" s="1" customFormat="1" spans="5:6">
      <c r="E93" s="1">
        <f t="shared" si="6"/>
        <v>0</v>
      </c>
      <c r="F93" s="1">
        <f t="shared" si="7"/>
        <v>0</v>
      </c>
    </row>
    <row r="94" s="1" customFormat="1" spans="5:6">
      <c r="E94" s="1">
        <f t="shared" si="6"/>
        <v>0</v>
      </c>
      <c r="F94" s="1">
        <f t="shared" si="7"/>
        <v>0</v>
      </c>
    </row>
    <row r="95" s="1" customFormat="1" spans="5:6">
      <c r="E95" s="1">
        <f t="shared" si="6"/>
        <v>0</v>
      </c>
      <c r="F95" s="1">
        <f t="shared" si="7"/>
        <v>0</v>
      </c>
    </row>
    <row r="96" s="1" customFormat="1" spans="5:6">
      <c r="E96" s="1">
        <f t="shared" si="6"/>
        <v>0</v>
      </c>
      <c r="F96" s="1">
        <f t="shared" si="7"/>
        <v>0</v>
      </c>
    </row>
    <row r="97" s="1" customFormat="1" spans="5:6">
      <c r="E97" s="1">
        <f t="shared" si="6"/>
        <v>0</v>
      </c>
      <c r="F97" s="1">
        <f t="shared" si="7"/>
        <v>0</v>
      </c>
    </row>
    <row r="98" s="1" customFormat="1" spans="5:6">
      <c r="E98" s="1">
        <f t="shared" si="6"/>
        <v>0</v>
      </c>
      <c r="F98" s="1">
        <f t="shared" si="7"/>
        <v>0</v>
      </c>
    </row>
    <row r="99" s="1" customFormat="1" spans="5:6">
      <c r="E99" s="1">
        <f t="shared" si="6"/>
        <v>0</v>
      </c>
      <c r="F99" s="1">
        <f t="shared" si="7"/>
        <v>0</v>
      </c>
    </row>
    <row r="100" s="1" customFormat="1" spans="5:6">
      <c r="E100" s="1">
        <f t="shared" si="6"/>
        <v>0</v>
      </c>
      <c r="F100" s="1">
        <f t="shared" si="7"/>
        <v>0</v>
      </c>
    </row>
    <row r="101" s="1" customFormat="1" spans="5:6">
      <c r="E101" s="1">
        <f t="shared" si="6"/>
        <v>0</v>
      </c>
      <c r="F101" s="1">
        <f t="shared" si="7"/>
        <v>0</v>
      </c>
    </row>
    <row r="102" s="1" customFormat="1" spans="5:6">
      <c r="E102" s="1">
        <f t="shared" si="6"/>
        <v>0</v>
      </c>
      <c r="F102" s="1">
        <f t="shared" si="7"/>
        <v>0</v>
      </c>
    </row>
    <row r="103" s="1" customFormat="1" spans="5:6">
      <c r="E103" s="1">
        <f t="shared" si="6"/>
        <v>0</v>
      </c>
      <c r="F103" s="1">
        <f t="shared" si="7"/>
        <v>0</v>
      </c>
    </row>
    <row r="104" s="1" customFormat="1" spans="5:6">
      <c r="E104" s="1">
        <f t="shared" si="6"/>
        <v>0</v>
      </c>
      <c r="F104" s="1">
        <f t="shared" si="7"/>
        <v>0</v>
      </c>
    </row>
    <row r="105" s="1" customFormat="1" spans="5:6">
      <c r="E105" s="1">
        <f t="shared" si="6"/>
        <v>0</v>
      </c>
      <c r="F105" s="1">
        <f t="shared" si="7"/>
        <v>0</v>
      </c>
    </row>
    <row r="106" s="1" customFormat="1" spans="5:6">
      <c r="E106" s="1">
        <f t="shared" si="6"/>
        <v>0</v>
      </c>
      <c r="F106" s="1">
        <f t="shared" si="7"/>
        <v>0</v>
      </c>
    </row>
    <row r="107" s="1" customFormat="1" spans="5:6">
      <c r="E107" s="1">
        <f t="shared" si="6"/>
        <v>0</v>
      </c>
      <c r="F107" s="1">
        <f t="shared" si="7"/>
        <v>0</v>
      </c>
    </row>
    <row r="108" s="1" customFormat="1" spans="5:6">
      <c r="E108" s="1">
        <f t="shared" si="6"/>
        <v>0</v>
      </c>
      <c r="F108" s="1">
        <f t="shared" si="7"/>
        <v>0</v>
      </c>
    </row>
    <row r="109" s="1" customFormat="1" spans="5:6">
      <c r="E109" s="1">
        <f t="shared" si="6"/>
        <v>0</v>
      </c>
      <c r="F109" s="1">
        <f t="shared" si="7"/>
        <v>0</v>
      </c>
    </row>
    <row r="110" s="1" customFormat="1" spans="5:6">
      <c r="E110" s="1">
        <f t="shared" si="6"/>
        <v>0</v>
      </c>
      <c r="F110" s="1">
        <f t="shared" si="7"/>
        <v>0</v>
      </c>
    </row>
    <row r="111" s="1" customFormat="1" spans="5:6">
      <c r="E111" s="1">
        <f t="shared" si="6"/>
        <v>0</v>
      </c>
      <c r="F111" s="1">
        <f t="shared" si="7"/>
        <v>0</v>
      </c>
    </row>
    <row r="112" s="1" customFormat="1" spans="5:6">
      <c r="E112" s="1">
        <f t="shared" si="6"/>
        <v>0</v>
      </c>
      <c r="F112" s="1">
        <f t="shared" si="7"/>
        <v>0</v>
      </c>
    </row>
    <row r="113" s="1" customFormat="1" spans="5:6">
      <c r="E113" s="1">
        <f t="shared" si="6"/>
        <v>0</v>
      </c>
      <c r="F113" s="1">
        <f t="shared" si="7"/>
        <v>0</v>
      </c>
    </row>
    <row r="114" s="1" customFormat="1" spans="5:6">
      <c r="E114" s="1">
        <f t="shared" si="6"/>
        <v>0</v>
      </c>
      <c r="F114" s="1">
        <f t="shared" si="7"/>
        <v>0</v>
      </c>
    </row>
    <row r="115" s="1" customFormat="1" spans="5:6">
      <c r="E115" s="1">
        <f t="shared" si="6"/>
        <v>0</v>
      </c>
      <c r="F115" s="1">
        <f t="shared" si="7"/>
        <v>0</v>
      </c>
    </row>
    <row r="116" s="1" customFormat="1" spans="5:6">
      <c r="E116" s="1">
        <f t="shared" si="6"/>
        <v>0</v>
      </c>
      <c r="F116" s="1">
        <f t="shared" si="7"/>
        <v>0</v>
      </c>
    </row>
    <row r="117" s="1" customFormat="1" spans="5:6">
      <c r="E117" s="1">
        <f t="shared" si="6"/>
        <v>0</v>
      </c>
      <c r="F117" s="1">
        <f t="shared" si="7"/>
        <v>0</v>
      </c>
    </row>
    <row r="118" s="1" customFormat="1" spans="5:6">
      <c r="E118" s="1">
        <f t="shared" si="6"/>
        <v>0</v>
      </c>
      <c r="F118" s="1">
        <f t="shared" si="7"/>
        <v>0</v>
      </c>
    </row>
    <row r="119" s="1" customFormat="1" spans="5:6">
      <c r="E119" s="1">
        <f t="shared" si="6"/>
        <v>0</v>
      </c>
      <c r="F119" s="1">
        <f t="shared" si="7"/>
        <v>0</v>
      </c>
    </row>
    <row r="120" s="1" customFormat="1" spans="5:6">
      <c r="E120" s="1">
        <f t="shared" si="6"/>
        <v>0</v>
      </c>
      <c r="F120" s="1">
        <f t="shared" si="7"/>
        <v>0</v>
      </c>
    </row>
    <row r="121" s="1" customFormat="1" spans="5:6">
      <c r="E121" s="1">
        <f t="shared" si="6"/>
        <v>0</v>
      </c>
      <c r="F121" s="1">
        <f t="shared" si="7"/>
        <v>0</v>
      </c>
    </row>
    <row r="122" s="1" customFormat="1" spans="5:6">
      <c r="E122" s="1">
        <f t="shared" si="6"/>
        <v>0</v>
      </c>
      <c r="F122" s="1">
        <f t="shared" si="7"/>
        <v>0</v>
      </c>
    </row>
    <row r="123" s="1" customFormat="1" spans="5:6">
      <c r="E123" s="1">
        <f t="shared" si="6"/>
        <v>0</v>
      </c>
      <c r="F123" s="1">
        <f t="shared" si="7"/>
        <v>0</v>
      </c>
    </row>
    <row r="124" s="1" customFormat="1" spans="5:6">
      <c r="E124" s="1">
        <f t="shared" si="6"/>
        <v>0</v>
      </c>
      <c r="F124" s="1">
        <f t="shared" si="7"/>
        <v>0</v>
      </c>
    </row>
    <row r="125" s="1" customFormat="1" spans="5:6">
      <c r="E125" s="1">
        <f t="shared" si="6"/>
        <v>0</v>
      </c>
      <c r="F125" s="1">
        <f t="shared" si="7"/>
        <v>0</v>
      </c>
    </row>
    <row r="126" s="1" customFormat="1" spans="5:6">
      <c r="E126" s="1">
        <f t="shared" si="6"/>
        <v>0</v>
      </c>
      <c r="F126" s="1">
        <f t="shared" si="7"/>
        <v>0</v>
      </c>
    </row>
    <row r="127" s="1" customFormat="1" spans="5:6">
      <c r="E127" s="1">
        <f t="shared" si="6"/>
        <v>0</v>
      </c>
      <c r="F127" s="1">
        <f t="shared" si="7"/>
        <v>0</v>
      </c>
    </row>
    <row r="128" s="1" customFormat="1" spans="5:6">
      <c r="E128" s="1">
        <f t="shared" si="6"/>
        <v>0</v>
      </c>
      <c r="F128" s="1">
        <f t="shared" si="7"/>
        <v>0</v>
      </c>
    </row>
    <row r="129" s="1" customFormat="1" spans="5:6">
      <c r="E129" s="1">
        <f t="shared" si="6"/>
        <v>0</v>
      </c>
      <c r="F129" s="1">
        <f t="shared" si="7"/>
        <v>0</v>
      </c>
    </row>
    <row r="130" s="1" customFormat="1" spans="5:6">
      <c r="E130" s="1">
        <f t="shared" ref="E130:E193" si="8">IF(B130="买入",C130/D130,IF(B130="卖出",-C130/D130,0))</f>
        <v>0</v>
      </c>
      <c r="F130" s="1">
        <f t="shared" ref="F130:F193" si="9">IF(B130="买入",-C130,IF(B130="卖出",C130,0))</f>
        <v>0</v>
      </c>
    </row>
    <row r="131" s="1" customFormat="1" spans="5:6">
      <c r="E131" s="1">
        <f t="shared" si="8"/>
        <v>0</v>
      </c>
      <c r="F131" s="1">
        <f t="shared" si="9"/>
        <v>0</v>
      </c>
    </row>
    <row r="132" s="1" customFormat="1" spans="5:6">
      <c r="E132" s="1">
        <f t="shared" si="8"/>
        <v>0</v>
      </c>
      <c r="F132" s="1">
        <f t="shared" si="9"/>
        <v>0</v>
      </c>
    </row>
    <row r="133" s="1" customFormat="1" spans="5:6">
      <c r="E133" s="1">
        <f t="shared" si="8"/>
        <v>0</v>
      </c>
      <c r="F133" s="1">
        <f t="shared" si="9"/>
        <v>0</v>
      </c>
    </row>
    <row r="134" s="1" customFormat="1" spans="5:6">
      <c r="E134" s="1">
        <f t="shared" si="8"/>
        <v>0</v>
      </c>
      <c r="F134" s="1">
        <f t="shared" si="9"/>
        <v>0</v>
      </c>
    </row>
    <row r="135" s="1" customFormat="1" spans="5:6">
      <c r="E135" s="1">
        <f t="shared" si="8"/>
        <v>0</v>
      </c>
      <c r="F135" s="1">
        <f t="shared" si="9"/>
        <v>0</v>
      </c>
    </row>
    <row r="136" s="1" customFormat="1" spans="5:6">
      <c r="E136" s="1">
        <f t="shared" si="8"/>
        <v>0</v>
      </c>
      <c r="F136" s="1">
        <f t="shared" si="9"/>
        <v>0</v>
      </c>
    </row>
    <row r="137" s="1" customFormat="1" spans="5:6">
      <c r="E137" s="1">
        <f t="shared" si="8"/>
        <v>0</v>
      </c>
      <c r="F137" s="1">
        <f t="shared" si="9"/>
        <v>0</v>
      </c>
    </row>
    <row r="138" s="1" customFormat="1" spans="5:6">
      <c r="E138" s="1">
        <f t="shared" si="8"/>
        <v>0</v>
      </c>
      <c r="F138" s="1">
        <f t="shared" si="9"/>
        <v>0</v>
      </c>
    </row>
    <row r="139" s="1" customFormat="1" spans="5:6">
      <c r="E139" s="1">
        <f t="shared" si="8"/>
        <v>0</v>
      </c>
      <c r="F139" s="1">
        <f t="shared" si="9"/>
        <v>0</v>
      </c>
    </row>
    <row r="140" s="1" customFormat="1" spans="5:6">
      <c r="E140" s="1">
        <f t="shared" si="8"/>
        <v>0</v>
      </c>
      <c r="F140" s="1">
        <f t="shared" si="9"/>
        <v>0</v>
      </c>
    </row>
    <row r="141" s="1" customFormat="1" spans="5:6">
      <c r="E141" s="1">
        <f t="shared" si="8"/>
        <v>0</v>
      </c>
      <c r="F141" s="1">
        <f t="shared" si="9"/>
        <v>0</v>
      </c>
    </row>
    <row r="142" s="1" customFormat="1" spans="5:6">
      <c r="E142" s="1">
        <f t="shared" si="8"/>
        <v>0</v>
      </c>
      <c r="F142" s="1">
        <f t="shared" si="9"/>
        <v>0</v>
      </c>
    </row>
    <row r="143" s="1" customFormat="1" spans="5:6">
      <c r="E143" s="1">
        <f t="shared" si="8"/>
        <v>0</v>
      </c>
      <c r="F143" s="1">
        <f t="shared" si="9"/>
        <v>0</v>
      </c>
    </row>
    <row r="144" s="1" customFormat="1" spans="5:6">
      <c r="E144" s="1">
        <f t="shared" si="8"/>
        <v>0</v>
      </c>
      <c r="F144" s="1">
        <f t="shared" si="9"/>
        <v>0</v>
      </c>
    </row>
    <row r="145" s="1" customFormat="1" spans="5:6">
      <c r="E145" s="1">
        <f t="shared" si="8"/>
        <v>0</v>
      </c>
      <c r="F145" s="1">
        <f t="shared" si="9"/>
        <v>0</v>
      </c>
    </row>
    <row r="146" s="1" customFormat="1" spans="5:6">
      <c r="E146" s="1">
        <f t="shared" si="8"/>
        <v>0</v>
      </c>
      <c r="F146" s="1">
        <f t="shared" si="9"/>
        <v>0</v>
      </c>
    </row>
    <row r="147" s="1" customFormat="1" spans="5:6">
      <c r="E147" s="1">
        <f t="shared" si="8"/>
        <v>0</v>
      </c>
      <c r="F147" s="1">
        <f t="shared" si="9"/>
        <v>0</v>
      </c>
    </row>
    <row r="148" s="1" customFormat="1" spans="5:6">
      <c r="E148" s="1">
        <f t="shared" si="8"/>
        <v>0</v>
      </c>
      <c r="F148" s="1">
        <f t="shared" si="9"/>
        <v>0</v>
      </c>
    </row>
    <row r="149" s="1" customFormat="1" spans="5:6">
      <c r="E149" s="1">
        <f t="shared" si="8"/>
        <v>0</v>
      </c>
      <c r="F149" s="1">
        <f t="shared" si="9"/>
        <v>0</v>
      </c>
    </row>
    <row r="150" s="1" customFormat="1" spans="5:6">
      <c r="E150" s="1">
        <f t="shared" si="8"/>
        <v>0</v>
      </c>
      <c r="F150" s="1">
        <f t="shared" si="9"/>
        <v>0</v>
      </c>
    </row>
    <row r="151" s="1" customFormat="1" spans="5:6">
      <c r="E151" s="1">
        <f t="shared" si="8"/>
        <v>0</v>
      </c>
      <c r="F151" s="1">
        <f t="shared" si="9"/>
        <v>0</v>
      </c>
    </row>
    <row r="152" s="1" customFormat="1" spans="5:6">
      <c r="E152" s="1">
        <f t="shared" si="8"/>
        <v>0</v>
      </c>
      <c r="F152" s="1">
        <f t="shared" si="9"/>
        <v>0</v>
      </c>
    </row>
    <row r="153" s="1" customFormat="1" spans="5:6">
      <c r="E153" s="1">
        <f t="shared" si="8"/>
        <v>0</v>
      </c>
      <c r="F153" s="1">
        <f t="shared" si="9"/>
        <v>0</v>
      </c>
    </row>
    <row r="154" s="1" customFormat="1" spans="5:6">
      <c r="E154" s="1">
        <f t="shared" si="8"/>
        <v>0</v>
      </c>
      <c r="F154" s="1">
        <f t="shared" si="9"/>
        <v>0</v>
      </c>
    </row>
    <row r="155" s="1" customFormat="1" spans="5:6">
      <c r="E155" s="1">
        <f t="shared" si="8"/>
        <v>0</v>
      </c>
      <c r="F155" s="1">
        <f t="shared" si="9"/>
        <v>0</v>
      </c>
    </row>
    <row r="156" s="1" customFormat="1" spans="5:6">
      <c r="E156" s="1">
        <f t="shared" si="8"/>
        <v>0</v>
      </c>
      <c r="F156" s="1">
        <f t="shared" si="9"/>
        <v>0</v>
      </c>
    </row>
    <row r="157" s="1" customFormat="1" spans="5:6">
      <c r="E157" s="1">
        <f t="shared" si="8"/>
        <v>0</v>
      </c>
      <c r="F157" s="1">
        <f t="shared" si="9"/>
        <v>0</v>
      </c>
    </row>
    <row r="158" s="1" customFormat="1" spans="5:6">
      <c r="E158" s="1">
        <f t="shared" si="8"/>
        <v>0</v>
      </c>
      <c r="F158" s="1">
        <f t="shared" si="9"/>
        <v>0</v>
      </c>
    </row>
    <row r="159" s="1" customFormat="1" spans="5:6">
      <c r="E159" s="1">
        <f t="shared" si="8"/>
        <v>0</v>
      </c>
      <c r="F159" s="1">
        <f t="shared" si="9"/>
        <v>0</v>
      </c>
    </row>
    <row r="160" s="1" customFormat="1" spans="5:6">
      <c r="E160" s="1">
        <f t="shared" si="8"/>
        <v>0</v>
      </c>
      <c r="F160" s="1">
        <f t="shared" si="9"/>
        <v>0</v>
      </c>
    </row>
    <row r="161" s="1" customFormat="1" spans="5:6">
      <c r="E161" s="1">
        <f t="shared" si="8"/>
        <v>0</v>
      </c>
      <c r="F161" s="1">
        <f t="shared" si="9"/>
        <v>0</v>
      </c>
    </row>
    <row r="162" s="1" customFormat="1" spans="5:6">
      <c r="E162" s="1">
        <f t="shared" si="8"/>
        <v>0</v>
      </c>
      <c r="F162" s="1">
        <f t="shared" si="9"/>
        <v>0</v>
      </c>
    </row>
    <row r="163" s="1" customFormat="1" spans="5:6">
      <c r="E163" s="1">
        <f t="shared" si="8"/>
        <v>0</v>
      </c>
      <c r="F163" s="1">
        <f t="shared" si="9"/>
        <v>0</v>
      </c>
    </row>
    <row r="164" s="1" customFormat="1" spans="5:6">
      <c r="E164" s="1">
        <f t="shared" si="8"/>
        <v>0</v>
      </c>
      <c r="F164" s="1">
        <f t="shared" si="9"/>
        <v>0</v>
      </c>
    </row>
    <row r="165" s="1" customFormat="1" spans="5:6">
      <c r="E165" s="1">
        <f t="shared" si="8"/>
        <v>0</v>
      </c>
      <c r="F165" s="1">
        <f t="shared" si="9"/>
        <v>0</v>
      </c>
    </row>
    <row r="166" s="1" customFormat="1" spans="5:6">
      <c r="E166" s="1">
        <f t="shared" si="8"/>
        <v>0</v>
      </c>
      <c r="F166" s="1">
        <f t="shared" si="9"/>
        <v>0</v>
      </c>
    </row>
    <row r="167" s="1" customFormat="1" spans="5:6">
      <c r="E167" s="1">
        <f t="shared" si="8"/>
        <v>0</v>
      </c>
      <c r="F167" s="1">
        <f t="shared" si="9"/>
        <v>0</v>
      </c>
    </row>
    <row r="168" s="1" customFormat="1" spans="5:6">
      <c r="E168" s="1">
        <f t="shared" si="8"/>
        <v>0</v>
      </c>
      <c r="F168" s="1">
        <f t="shared" si="9"/>
        <v>0</v>
      </c>
    </row>
    <row r="169" s="1" customFormat="1" spans="5:6">
      <c r="E169" s="1">
        <f t="shared" si="8"/>
        <v>0</v>
      </c>
      <c r="F169" s="1">
        <f t="shared" si="9"/>
        <v>0</v>
      </c>
    </row>
    <row r="170" s="1" customFormat="1" spans="5:6">
      <c r="E170" s="1">
        <f t="shared" si="8"/>
        <v>0</v>
      </c>
      <c r="F170" s="1">
        <f t="shared" si="9"/>
        <v>0</v>
      </c>
    </row>
    <row r="171" s="1" customFormat="1" spans="5:6">
      <c r="E171" s="1">
        <f t="shared" si="8"/>
        <v>0</v>
      </c>
      <c r="F171" s="1">
        <f t="shared" si="9"/>
        <v>0</v>
      </c>
    </row>
    <row r="172" s="1" customFormat="1" spans="5:6">
      <c r="E172" s="1">
        <f t="shared" si="8"/>
        <v>0</v>
      </c>
      <c r="F172" s="1">
        <f t="shared" si="9"/>
        <v>0</v>
      </c>
    </row>
    <row r="173" s="1" customFormat="1" spans="5:6">
      <c r="E173" s="1">
        <f t="shared" si="8"/>
        <v>0</v>
      </c>
      <c r="F173" s="1">
        <f t="shared" si="9"/>
        <v>0</v>
      </c>
    </row>
    <row r="174" s="1" customFormat="1" spans="5:6">
      <c r="E174" s="1">
        <f t="shared" si="8"/>
        <v>0</v>
      </c>
      <c r="F174" s="1">
        <f t="shared" si="9"/>
        <v>0</v>
      </c>
    </row>
    <row r="175" s="1" customFormat="1" spans="5:6">
      <c r="E175" s="1">
        <f t="shared" si="8"/>
        <v>0</v>
      </c>
      <c r="F175" s="1">
        <f t="shared" si="9"/>
        <v>0</v>
      </c>
    </row>
    <row r="176" s="1" customFormat="1" spans="5:6">
      <c r="E176" s="1">
        <f t="shared" si="8"/>
        <v>0</v>
      </c>
      <c r="F176" s="1">
        <f t="shared" si="9"/>
        <v>0</v>
      </c>
    </row>
    <row r="177" s="1" customFormat="1" spans="5:6">
      <c r="E177" s="1">
        <f t="shared" si="8"/>
        <v>0</v>
      </c>
      <c r="F177" s="1">
        <f t="shared" si="9"/>
        <v>0</v>
      </c>
    </row>
    <row r="178" s="1" customFormat="1" spans="5:6">
      <c r="E178" s="1">
        <f t="shared" si="8"/>
        <v>0</v>
      </c>
      <c r="F178" s="1">
        <f t="shared" si="9"/>
        <v>0</v>
      </c>
    </row>
    <row r="179" s="1" customFormat="1" spans="5:6">
      <c r="E179" s="1">
        <f t="shared" si="8"/>
        <v>0</v>
      </c>
      <c r="F179" s="1">
        <f t="shared" si="9"/>
        <v>0</v>
      </c>
    </row>
    <row r="180" s="1" customFormat="1" spans="5:6">
      <c r="E180" s="1">
        <f t="shared" si="8"/>
        <v>0</v>
      </c>
      <c r="F180" s="1">
        <f t="shared" si="9"/>
        <v>0</v>
      </c>
    </row>
    <row r="181" s="1" customFormat="1" spans="5:6">
      <c r="E181" s="1">
        <f t="shared" si="8"/>
        <v>0</v>
      </c>
      <c r="F181" s="1">
        <f t="shared" si="9"/>
        <v>0</v>
      </c>
    </row>
    <row r="182" s="1" customFormat="1" spans="5:6">
      <c r="E182" s="1">
        <f t="shared" si="8"/>
        <v>0</v>
      </c>
      <c r="F182" s="1">
        <f t="shared" si="9"/>
        <v>0</v>
      </c>
    </row>
    <row r="183" s="1" customFormat="1" spans="5:6">
      <c r="E183" s="1">
        <f t="shared" si="8"/>
        <v>0</v>
      </c>
      <c r="F183" s="1">
        <f t="shared" si="9"/>
        <v>0</v>
      </c>
    </row>
    <row r="184" s="1" customFormat="1" spans="5:6">
      <c r="E184" s="1">
        <f t="shared" si="8"/>
        <v>0</v>
      </c>
      <c r="F184" s="1">
        <f t="shared" si="9"/>
        <v>0</v>
      </c>
    </row>
    <row r="185" s="1" customFormat="1" spans="5:6">
      <c r="E185" s="1">
        <f t="shared" si="8"/>
        <v>0</v>
      </c>
      <c r="F185" s="1">
        <f t="shared" si="9"/>
        <v>0</v>
      </c>
    </row>
    <row r="186" s="1" customFormat="1" spans="5:6">
      <c r="E186" s="1">
        <f t="shared" si="8"/>
        <v>0</v>
      </c>
      <c r="F186" s="1">
        <f t="shared" si="9"/>
        <v>0</v>
      </c>
    </row>
    <row r="187" s="1" customFormat="1" spans="5:6">
      <c r="E187" s="1">
        <f t="shared" si="8"/>
        <v>0</v>
      </c>
      <c r="F187" s="1">
        <f t="shared" si="9"/>
        <v>0</v>
      </c>
    </row>
    <row r="188" s="1" customFormat="1" spans="5:6">
      <c r="E188" s="1">
        <f t="shared" si="8"/>
        <v>0</v>
      </c>
      <c r="F188" s="1">
        <f t="shared" si="9"/>
        <v>0</v>
      </c>
    </row>
    <row r="189" s="1" customFormat="1" spans="5:6">
      <c r="E189" s="1">
        <f t="shared" si="8"/>
        <v>0</v>
      </c>
      <c r="F189" s="1">
        <f t="shared" si="9"/>
        <v>0</v>
      </c>
    </row>
    <row r="190" s="1" customFormat="1" spans="5:6">
      <c r="E190" s="1">
        <f t="shared" si="8"/>
        <v>0</v>
      </c>
      <c r="F190" s="1">
        <f t="shared" si="9"/>
        <v>0</v>
      </c>
    </row>
    <row r="191" s="1" customFormat="1" spans="5:6">
      <c r="E191" s="1">
        <f t="shared" si="8"/>
        <v>0</v>
      </c>
      <c r="F191" s="1">
        <f t="shared" si="9"/>
        <v>0</v>
      </c>
    </row>
    <row r="192" s="1" customFormat="1" spans="5:6">
      <c r="E192" s="1">
        <f t="shared" si="8"/>
        <v>0</v>
      </c>
      <c r="F192" s="1">
        <f t="shared" si="9"/>
        <v>0</v>
      </c>
    </row>
    <row r="193" s="1" customFormat="1" spans="5:6">
      <c r="E193" s="1">
        <f t="shared" si="8"/>
        <v>0</v>
      </c>
      <c r="F193" s="1">
        <f t="shared" si="9"/>
        <v>0</v>
      </c>
    </row>
    <row r="194" s="1" customFormat="1" spans="5:6">
      <c r="E194" s="1">
        <f t="shared" ref="E194:E257" si="10">IF(B194="买入",C194/D194,IF(B194="卖出",-C194/D194,0))</f>
        <v>0</v>
      </c>
      <c r="F194" s="1">
        <f t="shared" ref="F194:F257" si="11">IF(B194="买入",-C194,IF(B194="卖出",C194,0))</f>
        <v>0</v>
      </c>
    </row>
    <row r="195" s="1" customFormat="1" spans="5:6">
      <c r="E195" s="1">
        <f t="shared" si="10"/>
        <v>0</v>
      </c>
      <c r="F195" s="1">
        <f t="shared" si="11"/>
        <v>0</v>
      </c>
    </row>
    <row r="196" s="1" customFormat="1" spans="5:6">
      <c r="E196" s="1">
        <f t="shared" si="10"/>
        <v>0</v>
      </c>
      <c r="F196" s="1">
        <f t="shared" si="11"/>
        <v>0</v>
      </c>
    </row>
    <row r="197" s="1" customFormat="1" spans="5:6">
      <c r="E197" s="1">
        <f t="shared" si="10"/>
        <v>0</v>
      </c>
      <c r="F197" s="1">
        <f t="shared" si="11"/>
        <v>0</v>
      </c>
    </row>
    <row r="198" s="1" customFormat="1" spans="5:6">
      <c r="E198" s="1">
        <f t="shared" si="10"/>
        <v>0</v>
      </c>
      <c r="F198" s="1">
        <f t="shared" si="11"/>
        <v>0</v>
      </c>
    </row>
    <row r="199" s="1" customFormat="1" spans="5:6">
      <c r="E199" s="1">
        <f t="shared" si="10"/>
        <v>0</v>
      </c>
      <c r="F199" s="1">
        <f t="shared" si="11"/>
        <v>0</v>
      </c>
    </row>
    <row r="200" s="1" customFormat="1" spans="5:6">
      <c r="E200" s="1">
        <f t="shared" si="10"/>
        <v>0</v>
      </c>
      <c r="F200" s="1">
        <f t="shared" si="11"/>
        <v>0</v>
      </c>
    </row>
    <row r="201" s="1" customFormat="1" spans="5:6">
      <c r="E201" s="1">
        <f t="shared" si="10"/>
        <v>0</v>
      </c>
      <c r="F201" s="1">
        <f t="shared" si="11"/>
        <v>0</v>
      </c>
    </row>
    <row r="202" s="1" customFormat="1" spans="5:6">
      <c r="E202" s="1">
        <f t="shared" si="10"/>
        <v>0</v>
      </c>
      <c r="F202" s="1">
        <f t="shared" si="11"/>
        <v>0</v>
      </c>
    </row>
    <row r="203" s="1" customFormat="1" spans="5:6">
      <c r="E203" s="1">
        <f t="shared" si="10"/>
        <v>0</v>
      </c>
      <c r="F203" s="1">
        <f t="shared" si="11"/>
        <v>0</v>
      </c>
    </row>
    <row r="204" s="1" customFormat="1" spans="5:6">
      <c r="E204" s="1">
        <f t="shared" si="10"/>
        <v>0</v>
      </c>
      <c r="F204" s="1">
        <f t="shared" si="11"/>
        <v>0</v>
      </c>
    </row>
    <row r="205" s="1" customFormat="1" spans="5:6">
      <c r="E205" s="1">
        <f t="shared" si="10"/>
        <v>0</v>
      </c>
      <c r="F205" s="1">
        <f t="shared" si="11"/>
        <v>0</v>
      </c>
    </row>
    <row r="206" s="1" customFormat="1" spans="5:6">
      <c r="E206" s="1">
        <f t="shared" si="10"/>
        <v>0</v>
      </c>
      <c r="F206" s="1">
        <f t="shared" si="11"/>
        <v>0</v>
      </c>
    </row>
    <row r="207" s="1" customFormat="1" spans="5:6">
      <c r="E207" s="1">
        <f t="shared" si="10"/>
        <v>0</v>
      </c>
      <c r="F207" s="1">
        <f t="shared" si="11"/>
        <v>0</v>
      </c>
    </row>
    <row r="208" s="1" customFormat="1" spans="5:6">
      <c r="E208" s="1">
        <f t="shared" si="10"/>
        <v>0</v>
      </c>
      <c r="F208" s="1">
        <f t="shared" si="11"/>
        <v>0</v>
      </c>
    </row>
    <row r="209" s="1" customFormat="1" spans="5:6">
      <c r="E209" s="1">
        <f t="shared" si="10"/>
        <v>0</v>
      </c>
      <c r="F209" s="1">
        <f t="shared" si="11"/>
        <v>0</v>
      </c>
    </row>
    <row r="210" s="1" customFormat="1" spans="5:6">
      <c r="E210" s="1">
        <f t="shared" si="10"/>
        <v>0</v>
      </c>
      <c r="F210" s="1">
        <f t="shared" si="11"/>
        <v>0</v>
      </c>
    </row>
    <row r="211" s="1" customFormat="1" spans="5:6">
      <c r="E211" s="1">
        <f t="shared" si="10"/>
        <v>0</v>
      </c>
      <c r="F211" s="1">
        <f t="shared" si="11"/>
        <v>0</v>
      </c>
    </row>
    <row r="212" s="1" customFormat="1" spans="5:6">
      <c r="E212" s="1">
        <f t="shared" si="10"/>
        <v>0</v>
      </c>
      <c r="F212" s="1">
        <f t="shared" si="11"/>
        <v>0</v>
      </c>
    </row>
    <row r="213" s="1" customFormat="1" spans="5:6">
      <c r="E213" s="1">
        <f t="shared" si="10"/>
        <v>0</v>
      </c>
      <c r="F213" s="1">
        <f t="shared" si="11"/>
        <v>0</v>
      </c>
    </row>
    <row r="214" s="1" customFormat="1" spans="5:6">
      <c r="E214" s="1">
        <f t="shared" si="10"/>
        <v>0</v>
      </c>
      <c r="F214" s="1">
        <f t="shared" si="11"/>
        <v>0</v>
      </c>
    </row>
    <row r="215" s="1" customFormat="1" spans="5:6">
      <c r="E215" s="1">
        <f t="shared" si="10"/>
        <v>0</v>
      </c>
      <c r="F215" s="1">
        <f t="shared" si="11"/>
        <v>0</v>
      </c>
    </row>
    <row r="216" s="1" customFormat="1" spans="5:6">
      <c r="E216" s="1">
        <f t="shared" si="10"/>
        <v>0</v>
      </c>
      <c r="F216" s="1">
        <f t="shared" si="11"/>
        <v>0</v>
      </c>
    </row>
    <row r="217" s="1" customFormat="1" spans="5:6">
      <c r="E217" s="1">
        <f t="shared" si="10"/>
        <v>0</v>
      </c>
      <c r="F217" s="1">
        <f t="shared" si="11"/>
        <v>0</v>
      </c>
    </row>
    <row r="218" s="1" customFormat="1" spans="5:6">
      <c r="E218" s="1">
        <f t="shared" si="10"/>
        <v>0</v>
      </c>
      <c r="F218" s="1">
        <f t="shared" si="11"/>
        <v>0</v>
      </c>
    </row>
    <row r="219" s="1" customFormat="1" spans="5:6">
      <c r="E219" s="1">
        <f t="shared" si="10"/>
        <v>0</v>
      </c>
      <c r="F219" s="1">
        <f t="shared" si="11"/>
        <v>0</v>
      </c>
    </row>
    <row r="220" s="1" customFormat="1" spans="5:6">
      <c r="E220" s="1">
        <f t="shared" si="10"/>
        <v>0</v>
      </c>
      <c r="F220" s="1">
        <f t="shared" si="11"/>
        <v>0</v>
      </c>
    </row>
    <row r="221" s="1" customFormat="1" spans="5:6">
      <c r="E221" s="1">
        <f t="shared" si="10"/>
        <v>0</v>
      </c>
      <c r="F221" s="1">
        <f t="shared" si="11"/>
        <v>0</v>
      </c>
    </row>
    <row r="222" s="1" customFormat="1" spans="5:6">
      <c r="E222" s="1">
        <f t="shared" si="10"/>
        <v>0</v>
      </c>
      <c r="F222" s="1">
        <f t="shared" si="11"/>
        <v>0</v>
      </c>
    </row>
    <row r="223" s="1" customFormat="1" spans="5:6">
      <c r="E223" s="1">
        <f t="shared" si="10"/>
        <v>0</v>
      </c>
      <c r="F223" s="1">
        <f t="shared" si="11"/>
        <v>0</v>
      </c>
    </row>
    <row r="224" s="1" customFormat="1" spans="5:6">
      <c r="E224" s="1">
        <f t="shared" si="10"/>
        <v>0</v>
      </c>
      <c r="F224" s="1">
        <f t="shared" si="11"/>
        <v>0</v>
      </c>
    </row>
    <row r="225" s="1" customFormat="1" spans="5:6">
      <c r="E225" s="1">
        <f t="shared" si="10"/>
        <v>0</v>
      </c>
      <c r="F225" s="1">
        <f t="shared" si="11"/>
        <v>0</v>
      </c>
    </row>
    <row r="226" s="1" customFormat="1" spans="5:6">
      <c r="E226" s="1">
        <f t="shared" si="10"/>
        <v>0</v>
      </c>
      <c r="F226" s="1">
        <f t="shared" si="11"/>
        <v>0</v>
      </c>
    </row>
    <row r="227" s="1" customFormat="1" spans="5:6">
      <c r="E227" s="1">
        <f t="shared" si="10"/>
        <v>0</v>
      </c>
      <c r="F227" s="1">
        <f t="shared" si="11"/>
        <v>0</v>
      </c>
    </row>
    <row r="228" s="1" customFormat="1" spans="5:6">
      <c r="E228" s="1">
        <f t="shared" si="10"/>
        <v>0</v>
      </c>
      <c r="F228" s="1">
        <f t="shared" si="11"/>
        <v>0</v>
      </c>
    </row>
    <row r="229" s="1" customFormat="1" spans="5:6">
      <c r="E229" s="1">
        <f t="shared" si="10"/>
        <v>0</v>
      </c>
      <c r="F229" s="1">
        <f t="shared" si="11"/>
        <v>0</v>
      </c>
    </row>
    <row r="230" s="1" customFormat="1" spans="5:6">
      <c r="E230" s="1">
        <f t="shared" si="10"/>
        <v>0</v>
      </c>
      <c r="F230" s="1">
        <f t="shared" si="11"/>
        <v>0</v>
      </c>
    </row>
    <row r="231" s="1" customFormat="1" spans="5:6">
      <c r="E231" s="1">
        <f t="shared" si="10"/>
        <v>0</v>
      </c>
      <c r="F231" s="1">
        <f t="shared" si="11"/>
        <v>0</v>
      </c>
    </row>
    <row r="232" s="1" customFormat="1" spans="5:6">
      <c r="E232" s="1">
        <f t="shared" si="10"/>
        <v>0</v>
      </c>
      <c r="F232" s="1">
        <f t="shared" si="11"/>
        <v>0</v>
      </c>
    </row>
    <row r="233" s="1" customFormat="1" spans="5:6">
      <c r="E233" s="1">
        <f t="shared" si="10"/>
        <v>0</v>
      </c>
      <c r="F233" s="1">
        <f t="shared" si="11"/>
        <v>0</v>
      </c>
    </row>
    <row r="234" s="1" customFormat="1" spans="5:6">
      <c r="E234" s="1">
        <f t="shared" si="10"/>
        <v>0</v>
      </c>
      <c r="F234" s="1">
        <f t="shared" si="11"/>
        <v>0</v>
      </c>
    </row>
    <row r="235" s="1" customFormat="1" spans="5:6">
      <c r="E235" s="1">
        <f t="shared" si="10"/>
        <v>0</v>
      </c>
      <c r="F235" s="1">
        <f t="shared" si="11"/>
        <v>0</v>
      </c>
    </row>
    <row r="236" s="1" customFormat="1" spans="5:6">
      <c r="E236" s="1">
        <f t="shared" si="10"/>
        <v>0</v>
      </c>
      <c r="F236" s="1">
        <f t="shared" si="11"/>
        <v>0</v>
      </c>
    </row>
    <row r="237" s="1" customFormat="1" spans="5:6">
      <c r="E237" s="1">
        <f t="shared" si="10"/>
        <v>0</v>
      </c>
      <c r="F237" s="1">
        <f t="shared" si="11"/>
        <v>0</v>
      </c>
    </row>
    <row r="238" s="1" customFormat="1" spans="5:6">
      <c r="E238" s="1">
        <f t="shared" si="10"/>
        <v>0</v>
      </c>
      <c r="F238" s="1">
        <f t="shared" si="11"/>
        <v>0</v>
      </c>
    </row>
    <row r="239" s="1" customFormat="1" spans="5:6">
      <c r="E239" s="1">
        <f t="shared" si="10"/>
        <v>0</v>
      </c>
      <c r="F239" s="1">
        <f t="shared" si="11"/>
        <v>0</v>
      </c>
    </row>
    <row r="240" s="1" customFormat="1" spans="5:6">
      <c r="E240" s="1">
        <f t="shared" si="10"/>
        <v>0</v>
      </c>
      <c r="F240" s="1">
        <f t="shared" si="11"/>
        <v>0</v>
      </c>
    </row>
    <row r="241" s="1" customFormat="1" spans="5:6">
      <c r="E241" s="1">
        <f t="shared" si="10"/>
        <v>0</v>
      </c>
      <c r="F241" s="1">
        <f t="shared" si="11"/>
        <v>0</v>
      </c>
    </row>
    <row r="242" s="1" customFormat="1" spans="5:6">
      <c r="E242" s="1">
        <f t="shared" si="10"/>
        <v>0</v>
      </c>
      <c r="F242" s="1">
        <f t="shared" si="11"/>
        <v>0</v>
      </c>
    </row>
    <row r="243" s="1" customFormat="1" spans="5:6">
      <c r="E243" s="1">
        <f t="shared" si="10"/>
        <v>0</v>
      </c>
      <c r="F243" s="1">
        <f t="shared" si="11"/>
        <v>0</v>
      </c>
    </row>
    <row r="244" s="1" customFormat="1" spans="5:6">
      <c r="E244" s="1">
        <f t="shared" si="10"/>
        <v>0</v>
      </c>
      <c r="F244" s="1">
        <f t="shared" si="11"/>
        <v>0</v>
      </c>
    </row>
    <row r="245" s="1" customFormat="1" spans="5:6">
      <c r="E245" s="1">
        <f t="shared" si="10"/>
        <v>0</v>
      </c>
      <c r="F245" s="1">
        <f t="shared" si="11"/>
        <v>0</v>
      </c>
    </row>
    <row r="246" s="1" customFormat="1" spans="5:6">
      <c r="E246" s="1">
        <f t="shared" si="10"/>
        <v>0</v>
      </c>
      <c r="F246" s="1">
        <f t="shared" si="11"/>
        <v>0</v>
      </c>
    </row>
    <row r="247" s="1" customFormat="1" spans="5:6">
      <c r="E247" s="1">
        <f t="shared" si="10"/>
        <v>0</v>
      </c>
      <c r="F247" s="1">
        <f t="shared" si="11"/>
        <v>0</v>
      </c>
    </row>
    <row r="248" s="1" customFormat="1" spans="5:6">
      <c r="E248" s="1">
        <f t="shared" si="10"/>
        <v>0</v>
      </c>
      <c r="F248" s="1">
        <f t="shared" si="11"/>
        <v>0</v>
      </c>
    </row>
    <row r="249" s="1" customFormat="1" spans="5:6">
      <c r="E249" s="1">
        <f t="shared" si="10"/>
        <v>0</v>
      </c>
      <c r="F249" s="1">
        <f t="shared" si="11"/>
        <v>0</v>
      </c>
    </row>
    <row r="250" s="1" customFormat="1" spans="5:6">
      <c r="E250" s="1">
        <f t="shared" si="10"/>
        <v>0</v>
      </c>
      <c r="F250" s="1">
        <f t="shared" si="11"/>
        <v>0</v>
      </c>
    </row>
    <row r="251" s="1" customFormat="1" spans="5:6">
      <c r="E251" s="1">
        <f t="shared" si="10"/>
        <v>0</v>
      </c>
      <c r="F251" s="1">
        <f t="shared" si="11"/>
        <v>0</v>
      </c>
    </row>
    <row r="252" s="1" customFormat="1" spans="5:6">
      <c r="E252" s="1">
        <f t="shared" si="10"/>
        <v>0</v>
      </c>
      <c r="F252" s="1">
        <f t="shared" si="11"/>
        <v>0</v>
      </c>
    </row>
    <row r="253" s="1" customFormat="1" spans="5:6">
      <c r="E253" s="1">
        <f t="shared" si="10"/>
        <v>0</v>
      </c>
      <c r="F253" s="1">
        <f t="shared" si="11"/>
        <v>0</v>
      </c>
    </row>
    <row r="254" s="1" customFormat="1" spans="5:6">
      <c r="E254" s="1">
        <f t="shared" si="10"/>
        <v>0</v>
      </c>
      <c r="F254" s="1">
        <f t="shared" si="11"/>
        <v>0</v>
      </c>
    </row>
    <row r="255" s="1" customFormat="1" spans="5:6">
      <c r="E255" s="1">
        <f t="shared" si="10"/>
        <v>0</v>
      </c>
      <c r="F255" s="1">
        <f t="shared" si="11"/>
        <v>0</v>
      </c>
    </row>
    <row r="256" s="1" customFormat="1" spans="5:6">
      <c r="E256" s="1">
        <f t="shared" si="10"/>
        <v>0</v>
      </c>
      <c r="F256" s="1">
        <f t="shared" si="11"/>
        <v>0</v>
      </c>
    </row>
    <row r="257" s="1" customFormat="1" spans="5:6">
      <c r="E257" s="1">
        <f t="shared" si="10"/>
        <v>0</v>
      </c>
      <c r="F257" s="1">
        <f t="shared" si="11"/>
        <v>0</v>
      </c>
    </row>
    <row r="258" s="1" customFormat="1" spans="5:6">
      <c r="E258" s="1">
        <f t="shared" ref="E258:E321" si="12">IF(B258="买入",C258/D258,IF(B258="卖出",-C258/D258,0))</f>
        <v>0</v>
      </c>
      <c r="F258" s="1">
        <f t="shared" ref="F258:F321" si="13">IF(B258="买入",-C258,IF(B258="卖出",C258,0))</f>
        <v>0</v>
      </c>
    </row>
    <row r="259" s="1" customFormat="1" spans="5:6">
      <c r="E259" s="1">
        <f t="shared" si="12"/>
        <v>0</v>
      </c>
      <c r="F259" s="1">
        <f t="shared" si="13"/>
        <v>0</v>
      </c>
    </row>
    <row r="260" s="1" customFormat="1" spans="5:6">
      <c r="E260" s="1">
        <f t="shared" si="12"/>
        <v>0</v>
      </c>
      <c r="F260" s="1">
        <f t="shared" si="13"/>
        <v>0</v>
      </c>
    </row>
    <row r="261" s="1" customFormat="1" spans="5:6">
      <c r="E261" s="1">
        <f t="shared" si="12"/>
        <v>0</v>
      </c>
      <c r="F261" s="1">
        <f t="shared" si="13"/>
        <v>0</v>
      </c>
    </row>
    <row r="262" s="1" customFormat="1" spans="5:6">
      <c r="E262" s="1">
        <f t="shared" si="12"/>
        <v>0</v>
      </c>
      <c r="F262" s="1">
        <f t="shared" si="13"/>
        <v>0</v>
      </c>
    </row>
    <row r="263" s="1" customFormat="1" spans="5:6">
      <c r="E263" s="1">
        <f t="shared" si="12"/>
        <v>0</v>
      </c>
      <c r="F263" s="1">
        <f t="shared" si="13"/>
        <v>0</v>
      </c>
    </row>
    <row r="264" s="1" customFormat="1" spans="5:6">
      <c r="E264" s="1">
        <f t="shared" si="12"/>
        <v>0</v>
      </c>
      <c r="F264" s="1">
        <f t="shared" si="13"/>
        <v>0</v>
      </c>
    </row>
    <row r="265" s="1" customFormat="1" spans="5:6">
      <c r="E265" s="1">
        <f t="shared" si="12"/>
        <v>0</v>
      </c>
      <c r="F265" s="1">
        <f t="shared" si="13"/>
        <v>0</v>
      </c>
    </row>
    <row r="266" s="1" customFormat="1" spans="5:6">
      <c r="E266" s="1">
        <f t="shared" si="12"/>
        <v>0</v>
      </c>
      <c r="F266" s="1">
        <f t="shared" si="13"/>
        <v>0</v>
      </c>
    </row>
    <row r="267" s="1" customFormat="1" spans="5:6">
      <c r="E267" s="1">
        <f t="shared" si="12"/>
        <v>0</v>
      </c>
      <c r="F267" s="1">
        <f t="shared" si="13"/>
        <v>0</v>
      </c>
    </row>
    <row r="268" s="1" customFormat="1" spans="5:6">
      <c r="E268" s="1">
        <f t="shared" si="12"/>
        <v>0</v>
      </c>
      <c r="F268" s="1">
        <f t="shared" si="13"/>
        <v>0</v>
      </c>
    </row>
    <row r="269" s="1" customFormat="1" spans="5:6">
      <c r="E269" s="1">
        <f t="shared" si="12"/>
        <v>0</v>
      </c>
      <c r="F269" s="1">
        <f t="shared" si="13"/>
        <v>0</v>
      </c>
    </row>
    <row r="270" s="1" customFormat="1" spans="5:6">
      <c r="E270" s="1">
        <f t="shared" si="12"/>
        <v>0</v>
      </c>
      <c r="F270" s="1">
        <f t="shared" si="13"/>
        <v>0</v>
      </c>
    </row>
    <row r="271" s="1" customFormat="1" spans="5:6">
      <c r="E271" s="1">
        <f t="shared" si="12"/>
        <v>0</v>
      </c>
      <c r="F271" s="1">
        <f t="shared" si="13"/>
        <v>0</v>
      </c>
    </row>
    <row r="272" s="1" customFormat="1" spans="5:6">
      <c r="E272" s="1">
        <f t="shared" si="12"/>
        <v>0</v>
      </c>
      <c r="F272" s="1">
        <f t="shared" si="13"/>
        <v>0</v>
      </c>
    </row>
    <row r="273" s="1" customFormat="1" spans="5:6">
      <c r="E273" s="1">
        <f t="shared" si="12"/>
        <v>0</v>
      </c>
      <c r="F273" s="1">
        <f t="shared" si="13"/>
        <v>0</v>
      </c>
    </row>
    <row r="274" s="1" customFormat="1" spans="5:6">
      <c r="E274" s="1">
        <f t="shared" si="12"/>
        <v>0</v>
      </c>
      <c r="F274" s="1">
        <f t="shared" si="13"/>
        <v>0</v>
      </c>
    </row>
    <row r="275" s="1" customFormat="1" spans="5:6">
      <c r="E275" s="1">
        <f t="shared" si="12"/>
        <v>0</v>
      </c>
      <c r="F275" s="1">
        <f t="shared" si="13"/>
        <v>0</v>
      </c>
    </row>
    <row r="276" s="1" customFormat="1" spans="5:6">
      <c r="E276" s="1">
        <f t="shared" si="12"/>
        <v>0</v>
      </c>
      <c r="F276" s="1">
        <f t="shared" si="13"/>
        <v>0</v>
      </c>
    </row>
    <row r="277" s="1" customFormat="1" spans="5:6">
      <c r="E277" s="1">
        <f t="shared" si="12"/>
        <v>0</v>
      </c>
      <c r="F277" s="1">
        <f t="shared" si="13"/>
        <v>0</v>
      </c>
    </row>
    <row r="278" s="1" customFormat="1" spans="5:6">
      <c r="E278" s="1">
        <f t="shared" si="12"/>
        <v>0</v>
      </c>
      <c r="F278" s="1">
        <f t="shared" si="13"/>
        <v>0</v>
      </c>
    </row>
    <row r="279" s="1" customFormat="1" spans="5:6">
      <c r="E279" s="1">
        <f t="shared" si="12"/>
        <v>0</v>
      </c>
      <c r="F279" s="1">
        <f t="shared" si="13"/>
        <v>0</v>
      </c>
    </row>
    <row r="280" s="1" customFormat="1" spans="5:6">
      <c r="E280" s="1">
        <f t="shared" si="12"/>
        <v>0</v>
      </c>
      <c r="F280" s="1">
        <f t="shared" si="13"/>
        <v>0</v>
      </c>
    </row>
    <row r="281" s="1" customFormat="1" spans="5:6">
      <c r="E281" s="1">
        <f t="shared" si="12"/>
        <v>0</v>
      </c>
      <c r="F281" s="1">
        <f t="shared" si="13"/>
        <v>0</v>
      </c>
    </row>
    <row r="282" s="1" customFormat="1" spans="5:6">
      <c r="E282" s="1">
        <f t="shared" si="12"/>
        <v>0</v>
      </c>
      <c r="F282" s="1">
        <f t="shared" si="13"/>
        <v>0</v>
      </c>
    </row>
    <row r="283" s="1" customFormat="1" spans="5:6">
      <c r="E283" s="1">
        <f t="shared" si="12"/>
        <v>0</v>
      </c>
      <c r="F283" s="1">
        <f t="shared" si="13"/>
        <v>0</v>
      </c>
    </row>
    <row r="284" s="1" customFormat="1" spans="5:6">
      <c r="E284" s="1">
        <f t="shared" si="12"/>
        <v>0</v>
      </c>
      <c r="F284" s="1">
        <f t="shared" si="13"/>
        <v>0</v>
      </c>
    </row>
    <row r="285" s="1" customFormat="1" spans="5:6">
      <c r="E285" s="1">
        <f t="shared" si="12"/>
        <v>0</v>
      </c>
      <c r="F285" s="1">
        <f t="shared" si="13"/>
        <v>0</v>
      </c>
    </row>
    <row r="286" s="1" customFormat="1" spans="5:6">
      <c r="E286" s="1">
        <f t="shared" si="12"/>
        <v>0</v>
      </c>
      <c r="F286" s="1">
        <f t="shared" si="13"/>
        <v>0</v>
      </c>
    </row>
    <row r="287" s="1" customFormat="1" spans="5:6">
      <c r="E287" s="1">
        <f t="shared" si="12"/>
        <v>0</v>
      </c>
      <c r="F287" s="1">
        <f t="shared" si="13"/>
        <v>0</v>
      </c>
    </row>
    <row r="288" s="1" customFormat="1" spans="5:6">
      <c r="E288" s="1">
        <f t="shared" si="12"/>
        <v>0</v>
      </c>
      <c r="F288" s="1">
        <f t="shared" si="13"/>
        <v>0</v>
      </c>
    </row>
    <row r="289" s="1" customFormat="1" spans="5:6">
      <c r="E289" s="1">
        <f t="shared" si="12"/>
        <v>0</v>
      </c>
      <c r="F289" s="1">
        <f t="shared" si="13"/>
        <v>0</v>
      </c>
    </row>
    <row r="290" s="1" customFormat="1" spans="5:6">
      <c r="E290" s="1">
        <f t="shared" si="12"/>
        <v>0</v>
      </c>
      <c r="F290" s="1">
        <f t="shared" si="13"/>
        <v>0</v>
      </c>
    </row>
    <row r="291" s="1" customFormat="1" spans="5:6">
      <c r="E291" s="1">
        <f t="shared" si="12"/>
        <v>0</v>
      </c>
      <c r="F291" s="1">
        <f t="shared" si="13"/>
        <v>0</v>
      </c>
    </row>
    <row r="292" s="1" customFormat="1" spans="5:6">
      <c r="E292" s="1">
        <f t="shared" si="12"/>
        <v>0</v>
      </c>
      <c r="F292" s="1">
        <f t="shared" si="13"/>
        <v>0</v>
      </c>
    </row>
    <row r="293" s="1" customFormat="1" spans="5:6">
      <c r="E293" s="1">
        <f t="shared" si="12"/>
        <v>0</v>
      </c>
      <c r="F293" s="1">
        <f t="shared" si="13"/>
        <v>0</v>
      </c>
    </row>
    <row r="294" s="1" customFormat="1" spans="5:6">
      <c r="E294" s="1">
        <f t="shared" si="12"/>
        <v>0</v>
      </c>
      <c r="F294" s="1">
        <f t="shared" si="13"/>
        <v>0</v>
      </c>
    </row>
    <row r="295" s="1" customFormat="1" spans="5:6">
      <c r="E295" s="1">
        <f t="shared" si="12"/>
        <v>0</v>
      </c>
      <c r="F295" s="1">
        <f t="shared" si="13"/>
        <v>0</v>
      </c>
    </row>
    <row r="296" s="1" customFormat="1" spans="5:6">
      <c r="E296" s="1">
        <f t="shared" si="12"/>
        <v>0</v>
      </c>
      <c r="F296" s="1">
        <f t="shared" si="13"/>
        <v>0</v>
      </c>
    </row>
    <row r="297" s="1" customFormat="1" spans="5:6">
      <c r="E297" s="1">
        <f t="shared" si="12"/>
        <v>0</v>
      </c>
      <c r="F297" s="1">
        <f t="shared" si="13"/>
        <v>0</v>
      </c>
    </row>
    <row r="298" s="1" customFormat="1" spans="5:6">
      <c r="E298" s="1">
        <f t="shared" si="12"/>
        <v>0</v>
      </c>
      <c r="F298" s="1">
        <f t="shared" si="13"/>
        <v>0</v>
      </c>
    </row>
    <row r="299" s="1" customFormat="1" spans="5:6">
      <c r="E299" s="1">
        <f t="shared" si="12"/>
        <v>0</v>
      </c>
      <c r="F299" s="1">
        <f t="shared" si="13"/>
        <v>0</v>
      </c>
    </row>
    <row r="300" s="1" customFormat="1" spans="5:6">
      <c r="E300" s="1">
        <f t="shared" si="12"/>
        <v>0</v>
      </c>
      <c r="F300" s="1">
        <f t="shared" si="13"/>
        <v>0</v>
      </c>
    </row>
    <row r="301" s="1" customFormat="1" spans="5:6">
      <c r="E301" s="1">
        <f t="shared" si="12"/>
        <v>0</v>
      </c>
      <c r="F301" s="1">
        <f t="shared" si="13"/>
        <v>0</v>
      </c>
    </row>
    <row r="302" s="1" customFormat="1" spans="5:6">
      <c r="E302" s="1">
        <f t="shared" si="12"/>
        <v>0</v>
      </c>
      <c r="F302" s="1">
        <f t="shared" si="13"/>
        <v>0</v>
      </c>
    </row>
    <row r="303" s="1" customFormat="1" spans="5:6">
      <c r="E303" s="1">
        <f t="shared" si="12"/>
        <v>0</v>
      </c>
      <c r="F303" s="1">
        <f t="shared" si="13"/>
        <v>0</v>
      </c>
    </row>
    <row r="304" s="1" customFormat="1" spans="5:6">
      <c r="E304" s="1">
        <f t="shared" si="12"/>
        <v>0</v>
      </c>
      <c r="F304" s="1">
        <f t="shared" si="13"/>
        <v>0</v>
      </c>
    </row>
    <row r="305" s="1" customFormat="1" spans="5:6">
      <c r="E305" s="1">
        <f t="shared" si="12"/>
        <v>0</v>
      </c>
      <c r="F305" s="1">
        <f t="shared" si="13"/>
        <v>0</v>
      </c>
    </row>
    <row r="306" s="1" customFormat="1" spans="5:6">
      <c r="E306" s="1">
        <f t="shared" si="12"/>
        <v>0</v>
      </c>
      <c r="F306" s="1">
        <f t="shared" si="13"/>
        <v>0</v>
      </c>
    </row>
    <row r="307" s="1" customFormat="1" spans="5:6">
      <c r="E307" s="1">
        <f t="shared" si="12"/>
        <v>0</v>
      </c>
      <c r="F307" s="1">
        <f t="shared" si="13"/>
        <v>0</v>
      </c>
    </row>
    <row r="308" s="1" customFormat="1" spans="5:6">
      <c r="E308" s="1">
        <f t="shared" si="12"/>
        <v>0</v>
      </c>
      <c r="F308" s="1">
        <f t="shared" si="13"/>
        <v>0</v>
      </c>
    </row>
    <row r="309" s="1" customFormat="1" spans="5:6">
      <c r="E309" s="1">
        <f t="shared" si="12"/>
        <v>0</v>
      </c>
      <c r="F309" s="1">
        <f t="shared" si="13"/>
        <v>0</v>
      </c>
    </row>
    <row r="310" s="1" customFormat="1" spans="5:6">
      <c r="E310" s="1">
        <f t="shared" si="12"/>
        <v>0</v>
      </c>
      <c r="F310" s="1">
        <f t="shared" si="13"/>
        <v>0</v>
      </c>
    </row>
    <row r="311" s="1" customFormat="1" spans="5:6">
      <c r="E311" s="1">
        <f t="shared" si="12"/>
        <v>0</v>
      </c>
      <c r="F311" s="1">
        <f t="shared" si="13"/>
        <v>0</v>
      </c>
    </row>
    <row r="312" s="1" customFormat="1" spans="5:6">
      <c r="E312" s="1">
        <f t="shared" si="12"/>
        <v>0</v>
      </c>
      <c r="F312" s="1">
        <f t="shared" si="13"/>
        <v>0</v>
      </c>
    </row>
    <row r="313" s="1" customFormat="1" spans="5:6">
      <c r="E313" s="1">
        <f t="shared" si="12"/>
        <v>0</v>
      </c>
      <c r="F313" s="1">
        <f t="shared" si="13"/>
        <v>0</v>
      </c>
    </row>
    <row r="314" s="1" customFormat="1" spans="5:6">
      <c r="E314" s="1">
        <f t="shared" si="12"/>
        <v>0</v>
      </c>
      <c r="F314" s="1">
        <f t="shared" si="13"/>
        <v>0</v>
      </c>
    </row>
    <row r="315" s="1" customFormat="1" spans="5:6">
      <c r="E315" s="1">
        <f t="shared" si="12"/>
        <v>0</v>
      </c>
      <c r="F315" s="1">
        <f t="shared" si="13"/>
        <v>0</v>
      </c>
    </row>
    <row r="316" s="1" customFormat="1" spans="5:6">
      <c r="E316" s="1">
        <f t="shared" si="12"/>
        <v>0</v>
      </c>
      <c r="F316" s="1">
        <f t="shared" si="13"/>
        <v>0</v>
      </c>
    </row>
    <row r="317" s="1" customFormat="1" spans="5:6">
      <c r="E317" s="1">
        <f t="shared" si="12"/>
        <v>0</v>
      </c>
      <c r="F317" s="1">
        <f t="shared" si="13"/>
        <v>0</v>
      </c>
    </row>
    <row r="318" s="1" customFormat="1" spans="5:6">
      <c r="E318" s="1">
        <f t="shared" si="12"/>
        <v>0</v>
      </c>
      <c r="F318" s="1">
        <f t="shared" si="13"/>
        <v>0</v>
      </c>
    </row>
    <row r="319" s="1" customFormat="1" spans="5:6">
      <c r="E319" s="1">
        <f t="shared" si="12"/>
        <v>0</v>
      </c>
      <c r="F319" s="1">
        <f t="shared" si="13"/>
        <v>0</v>
      </c>
    </row>
    <row r="320" s="1" customFormat="1" spans="5:6">
      <c r="E320" s="1">
        <f t="shared" si="12"/>
        <v>0</v>
      </c>
      <c r="F320" s="1">
        <f t="shared" si="13"/>
        <v>0</v>
      </c>
    </row>
    <row r="321" s="1" customFormat="1" spans="5:6">
      <c r="E321" s="1">
        <f t="shared" si="12"/>
        <v>0</v>
      </c>
      <c r="F321" s="1">
        <f t="shared" si="13"/>
        <v>0</v>
      </c>
    </row>
    <row r="322" s="1" customFormat="1" spans="5:6">
      <c r="E322" s="1">
        <f t="shared" ref="E322:E385" si="14">IF(B322="买入",C322/D322,IF(B322="卖出",-C322/D322,0))</f>
        <v>0</v>
      </c>
      <c r="F322" s="1">
        <f t="shared" ref="F322:F385" si="15">IF(B322="买入",-C322,IF(B322="卖出",C322,0))</f>
        <v>0</v>
      </c>
    </row>
    <row r="323" s="1" customFormat="1" spans="5:6">
      <c r="E323" s="1">
        <f t="shared" si="14"/>
        <v>0</v>
      </c>
      <c r="F323" s="1">
        <f t="shared" si="15"/>
        <v>0</v>
      </c>
    </row>
    <row r="324" s="1" customFormat="1" spans="5:6">
      <c r="E324" s="1">
        <f t="shared" si="14"/>
        <v>0</v>
      </c>
      <c r="F324" s="1">
        <f t="shared" si="15"/>
        <v>0</v>
      </c>
    </row>
    <row r="325" s="1" customFormat="1" spans="5:6">
      <c r="E325" s="1">
        <f t="shared" si="14"/>
        <v>0</v>
      </c>
      <c r="F325" s="1">
        <f t="shared" si="15"/>
        <v>0</v>
      </c>
    </row>
    <row r="326" s="1" customFormat="1" spans="5:6">
      <c r="E326" s="1">
        <f t="shared" si="14"/>
        <v>0</v>
      </c>
      <c r="F326" s="1">
        <f t="shared" si="15"/>
        <v>0</v>
      </c>
    </row>
    <row r="327" s="1" customFormat="1" spans="5:6">
      <c r="E327" s="1">
        <f t="shared" si="14"/>
        <v>0</v>
      </c>
      <c r="F327" s="1">
        <f t="shared" si="15"/>
        <v>0</v>
      </c>
    </row>
    <row r="328" s="1" customFormat="1" spans="5:6">
      <c r="E328" s="1">
        <f t="shared" si="14"/>
        <v>0</v>
      </c>
      <c r="F328" s="1">
        <f t="shared" si="15"/>
        <v>0</v>
      </c>
    </row>
    <row r="329" s="1" customFormat="1" spans="5:6">
      <c r="E329" s="1">
        <f t="shared" si="14"/>
        <v>0</v>
      </c>
      <c r="F329" s="1">
        <f t="shared" si="15"/>
        <v>0</v>
      </c>
    </row>
    <row r="330" s="1" customFormat="1" spans="5:6">
      <c r="E330" s="1">
        <f t="shared" si="14"/>
        <v>0</v>
      </c>
      <c r="F330" s="1">
        <f t="shared" si="15"/>
        <v>0</v>
      </c>
    </row>
    <row r="331" s="1" customFormat="1" spans="5:6">
      <c r="E331" s="1">
        <f t="shared" si="14"/>
        <v>0</v>
      </c>
      <c r="F331" s="1">
        <f t="shared" si="15"/>
        <v>0</v>
      </c>
    </row>
    <row r="332" s="1" customFormat="1" spans="5:6">
      <c r="E332" s="1">
        <f t="shared" si="14"/>
        <v>0</v>
      </c>
      <c r="F332" s="1">
        <f t="shared" si="15"/>
        <v>0</v>
      </c>
    </row>
    <row r="333" s="1" customFormat="1" spans="5:6">
      <c r="E333" s="1">
        <f t="shared" si="14"/>
        <v>0</v>
      </c>
      <c r="F333" s="1">
        <f t="shared" si="15"/>
        <v>0</v>
      </c>
    </row>
    <row r="334" s="1" customFormat="1" spans="5:6">
      <c r="E334" s="1">
        <f t="shared" si="14"/>
        <v>0</v>
      </c>
      <c r="F334" s="1">
        <f t="shared" si="15"/>
        <v>0</v>
      </c>
    </row>
    <row r="335" s="1" customFormat="1" spans="5:6">
      <c r="E335" s="1">
        <f t="shared" si="14"/>
        <v>0</v>
      </c>
      <c r="F335" s="1">
        <f t="shared" si="15"/>
        <v>0</v>
      </c>
    </row>
    <row r="336" s="1" customFormat="1" spans="5:6">
      <c r="E336" s="1">
        <f t="shared" si="14"/>
        <v>0</v>
      </c>
      <c r="F336" s="1">
        <f t="shared" si="15"/>
        <v>0</v>
      </c>
    </row>
    <row r="337" s="1" customFormat="1" spans="5:6">
      <c r="E337" s="1">
        <f t="shared" si="14"/>
        <v>0</v>
      </c>
      <c r="F337" s="1">
        <f t="shared" si="15"/>
        <v>0</v>
      </c>
    </row>
    <row r="338" s="1" customFormat="1" spans="5:6">
      <c r="E338" s="1">
        <f t="shared" si="14"/>
        <v>0</v>
      </c>
      <c r="F338" s="1">
        <f t="shared" si="15"/>
        <v>0</v>
      </c>
    </row>
    <row r="339" s="1" customFormat="1" spans="5:6">
      <c r="E339" s="1">
        <f t="shared" si="14"/>
        <v>0</v>
      </c>
      <c r="F339" s="1">
        <f t="shared" si="15"/>
        <v>0</v>
      </c>
    </row>
    <row r="340" s="1" customFormat="1" spans="5:6">
      <c r="E340" s="1">
        <f t="shared" si="14"/>
        <v>0</v>
      </c>
      <c r="F340" s="1">
        <f t="shared" si="15"/>
        <v>0</v>
      </c>
    </row>
    <row r="341" s="1" customFormat="1" spans="5:6">
      <c r="E341" s="1">
        <f t="shared" si="14"/>
        <v>0</v>
      </c>
      <c r="F341" s="1">
        <f t="shared" si="15"/>
        <v>0</v>
      </c>
    </row>
    <row r="342" s="1" customFormat="1" spans="5:6">
      <c r="E342" s="1">
        <f t="shared" si="14"/>
        <v>0</v>
      </c>
      <c r="F342" s="1">
        <f t="shared" si="15"/>
        <v>0</v>
      </c>
    </row>
    <row r="343" s="1" customFormat="1" spans="5:6">
      <c r="E343" s="1">
        <f t="shared" si="14"/>
        <v>0</v>
      </c>
      <c r="F343" s="1">
        <f t="shared" si="15"/>
        <v>0</v>
      </c>
    </row>
    <row r="344" s="1" customFormat="1" spans="5:6">
      <c r="E344" s="1">
        <f t="shared" si="14"/>
        <v>0</v>
      </c>
      <c r="F344" s="1">
        <f t="shared" si="15"/>
        <v>0</v>
      </c>
    </row>
    <row r="345" s="1" customFormat="1" spans="5:6">
      <c r="E345" s="1">
        <f t="shared" si="14"/>
        <v>0</v>
      </c>
      <c r="F345" s="1">
        <f t="shared" si="15"/>
        <v>0</v>
      </c>
    </row>
    <row r="346" s="1" customFormat="1" spans="5:6">
      <c r="E346" s="1">
        <f t="shared" si="14"/>
        <v>0</v>
      </c>
      <c r="F346" s="1">
        <f t="shared" si="15"/>
        <v>0</v>
      </c>
    </row>
    <row r="347" s="1" customFormat="1" spans="5:6">
      <c r="E347" s="1">
        <f t="shared" si="14"/>
        <v>0</v>
      </c>
      <c r="F347" s="1">
        <f t="shared" si="15"/>
        <v>0</v>
      </c>
    </row>
    <row r="348" s="1" customFormat="1" spans="5:6">
      <c r="E348" s="1">
        <f t="shared" si="14"/>
        <v>0</v>
      </c>
      <c r="F348" s="1">
        <f t="shared" si="15"/>
        <v>0</v>
      </c>
    </row>
    <row r="349" s="1" customFormat="1" spans="5:6">
      <c r="E349" s="1">
        <f t="shared" si="14"/>
        <v>0</v>
      </c>
      <c r="F349" s="1">
        <f t="shared" si="15"/>
        <v>0</v>
      </c>
    </row>
    <row r="350" s="1" customFormat="1" spans="5:6">
      <c r="E350" s="1">
        <f t="shared" si="14"/>
        <v>0</v>
      </c>
      <c r="F350" s="1">
        <f t="shared" si="15"/>
        <v>0</v>
      </c>
    </row>
    <row r="351" s="1" customFormat="1" spans="5:6">
      <c r="E351" s="1">
        <f t="shared" si="14"/>
        <v>0</v>
      </c>
      <c r="F351" s="1">
        <f t="shared" si="15"/>
        <v>0</v>
      </c>
    </row>
    <row r="352" s="1" customFormat="1" spans="5:6">
      <c r="E352" s="1">
        <f t="shared" si="14"/>
        <v>0</v>
      </c>
      <c r="F352" s="1">
        <f t="shared" si="15"/>
        <v>0</v>
      </c>
    </row>
    <row r="353" s="1" customFormat="1" spans="5:6">
      <c r="E353" s="1">
        <f t="shared" si="14"/>
        <v>0</v>
      </c>
      <c r="F353" s="1">
        <f t="shared" si="15"/>
        <v>0</v>
      </c>
    </row>
    <row r="354" s="1" customFormat="1" spans="5:6">
      <c r="E354" s="1">
        <f t="shared" si="14"/>
        <v>0</v>
      </c>
      <c r="F354" s="1">
        <f t="shared" si="15"/>
        <v>0</v>
      </c>
    </row>
    <row r="355" s="1" customFormat="1" spans="5:6">
      <c r="E355" s="1">
        <f t="shared" si="14"/>
        <v>0</v>
      </c>
      <c r="F355" s="1">
        <f t="shared" si="15"/>
        <v>0</v>
      </c>
    </row>
    <row r="356" s="1" customFormat="1" spans="5:6">
      <c r="E356" s="1">
        <f t="shared" si="14"/>
        <v>0</v>
      </c>
      <c r="F356" s="1">
        <f t="shared" si="15"/>
        <v>0</v>
      </c>
    </row>
    <row r="357" s="1" customFormat="1" spans="5:6">
      <c r="E357" s="1">
        <f t="shared" si="14"/>
        <v>0</v>
      </c>
      <c r="F357" s="1">
        <f t="shared" si="15"/>
        <v>0</v>
      </c>
    </row>
    <row r="358" s="1" customFormat="1" spans="5:6">
      <c r="E358" s="1">
        <f t="shared" si="14"/>
        <v>0</v>
      </c>
      <c r="F358" s="1">
        <f t="shared" si="15"/>
        <v>0</v>
      </c>
    </row>
    <row r="359" s="1" customFormat="1" spans="5:6">
      <c r="E359" s="1">
        <f t="shared" si="14"/>
        <v>0</v>
      </c>
      <c r="F359" s="1">
        <f t="shared" si="15"/>
        <v>0</v>
      </c>
    </row>
    <row r="360" s="1" customFormat="1" spans="5:6">
      <c r="E360" s="1">
        <f t="shared" si="14"/>
        <v>0</v>
      </c>
      <c r="F360" s="1">
        <f t="shared" si="15"/>
        <v>0</v>
      </c>
    </row>
    <row r="361" s="1" customFormat="1" spans="5:6">
      <c r="E361" s="1">
        <f t="shared" si="14"/>
        <v>0</v>
      </c>
      <c r="F361" s="1">
        <f t="shared" si="15"/>
        <v>0</v>
      </c>
    </row>
    <row r="362" s="1" customFormat="1" spans="5:6">
      <c r="E362" s="1">
        <f t="shared" si="14"/>
        <v>0</v>
      </c>
      <c r="F362" s="1">
        <f t="shared" si="15"/>
        <v>0</v>
      </c>
    </row>
    <row r="363" s="1" customFormat="1" spans="5:6">
      <c r="E363" s="1">
        <f t="shared" si="14"/>
        <v>0</v>
      </c>
      <c r="F363" s="1">
        <f t="shared" si="15"/>
        <v>0</v>
      </c>
    </row>
    <row r="364" s="1" customFormat="1" spans="5:6">
      <c r="E364" s="1">
        <f t="shared" si="14"/>
        <v>0</v>
      </c>
      <c r="F364" s="1">
        <f t="shared" si="15"/>
        <v>0</v>
      </c>
    </row>
    <row r="365" s="1" customFormat="1" spans="5:6">
      <c r="E365" s="1">
        <f t="shared" si="14"/>
        <v>0</v>
      </c>
      <c r="F365" s="1">
        <f t="shared" si="15"/>
        <v>0</v>
      </c>
    </row>
    <row r="366" s="1" customFormat="1" spans="5:6">
      <c r="E366" s="1">
        <f t="shared" si="14"/>
        <v>0</v>
      </c>
      <c r="F366" s="1">
        <f t="shared" si="15"/>
        <v>0</v>
      </c>
    </row>
    <row r="367" s="1" customFormat="1" spans="5:6">
      <c r="E367" s="1">
        <f t="shared" si="14"/>
        <v>0</v>
      </c>
      <c r="F367" s="1">
        <f t="shared" si="15"/>
        <v>0</v>
      </c>
    </row>
    <row r="368" s="1" customFormat="1" spans="5:6">
      <c r="E368" s="1">
        <f t="shared" si="14"/>
        <v>0</v>
      </c>
      <c r="F368" s="1">
        <f t="shared" si="15"/>
        <v>0</v>
      </c>
    </row>
    <row r="369" s="1" customFormat="1" spans="5:6">
      <c r="E369" s="1">
        <f t="shared" si="14"/>
        <v>0</v>
      </c>
      <c r="F369" s="1">
        <f t="shared" si="15"/>
        <v>0</v>
      </c>
    </row>
    <row r="370" s="1" customFormat="1" spans="5:6">
      <c r="E370" s="1">
        <f t="shared" si="14"/>
        <v>0</v>
      </c>
      <c r="F370" s="1">
        <f t="shared" si="15"/>
        <v>0</v>
      </c>
    </row>
    <row r="371" s="1" customFormat="1" spans="5:6">
      <c r="E371" s="1">
        <f t="shared" si="14"/>
        <v>0</v>
      </c>
      <c r="F371" s="1">
        <f t="shared" si="15"/>
        <v>0</v>
      </c>
    </row>
    <row r="372" s="1" customFormat="1" spans="5:6">
      <c r="E372" s="1">
        <f t="shared" si="14"/>
        <v>0</v>
      </c>
      <c r="F372" s="1">
        <f t="shared" si="15"/>
        <v>0</v>
      </c>
    </row>
    <row r="373" s="1" customFormat="1" spans="5:6">
      <c r="E373" s="1">
        <f t="shared" si="14"/>
        <v>0</v>
      </c>
      <c r="F373" s="1">
        <f t="shared" si="15"/>
        <v>0</v>
      </c>
    </row>
    <row r="374" s="1" customFormat="1" spans="5:6">
      <c r="E374" s="1">
        <f t="shared" si="14"/>
        <v>0</v>
      </c>
      <c r="F374" s="1">
        <f t="shared" si="15"/>
        <v>0</v>
      </c>
    </row>
    <row r="375" s="1" customFormat="1" spans="5:6">
      <c r="E375" s="1">
        <f t="shared" si="14"/>
        <v>0</v>
      </c>
      <c r="F375" s="1">
        <f t="shared" si="15"/>
        <v>0</v>
      </c>
    </row>
    <row r="376" s="1" customFormat="1" spans="5:6">
      <c r="E376" s="1">
        <f t="shared" si="14"/>
        <v>0</v>
      </c>
      <c r="F376" s="1">
        <f t="shared" si="15"/>
        <v>0</v>
      </c>
    </row>
    <row r="377" s="1" customFormat="1" spans="5:6">
      <c r="E377" s="1">
        <f t="shared" si="14"/>
        <v>0</v>
      </c>
      <c r="F377" s="1">
        <f t="shared" si="15"/>
        <v>0</v>
      </c>
    </row>
    <row r="378" s="1" customFormat="1" spans="5:6">
      <c r="E378" s="1">
        <f t="shared" si="14"/>
        <v>0</v>
      </c>
      <c r="F378" s="1">
        <f t="shared" si="15"/>
        <v>0</v>
      </c>
    </row>
    <row r="379" s="1" customFormat="1" spans="5:6">
      <c r="E379" s="1">
        <f t="shared" si="14"/>
        <v>0</v>
      </c>
      <c r="F379" s="1">
        <f t="shared" si="15"/>
        <v>0</v>
      </c>
    </row>
    <row r="380" s="1" customFormat="1" spans="5:6">
      <c r="E380" s="1">
        <f t="shared" si="14"/>
        <v>0</v>
      </c>
      <c r="F380" s="1">
        <f t="shared" si="15"/>
        <v>0</v>
      </c>
    </row>
    <row r="381" s="1" customFormat="1" spans="5:6">
      <c r="E381" s="1">
        <f t="shared" si="14"/>
        <v>0</v>
      </c>
      <c r="F381" s="1">
        <f t="shared" si="15"/>
        <v>0</v>
      </c>
    </row>
    <row r="382" s="1" customFormat="1" spans="5:6">
      <c r="E382" s="1">
        <f t="shared" si="14"/>
        <v>0</v>
      </c>
      <c r="F382" s="1">
        <f t="shared" si="15"/>
        <v>0</v>
      </c>
    </row>
    <row r="383" s="1" customFormat="1" spans="5:6">
      <c r="E383" s="1">
        <f t="shared" si="14"/>
        <v>0</v>
      </c>
      <c r="F383" s="1">
        <f t="shared" si="15"/>
        <v>0</v>
      </c>
    </row>
    <row r="384" s="1" customFormat="1" spans="5:6">
      <c r="E384" s="1">
        <f t="shared" si="14"/>
        <v>0</v>
      </c>
      <c r="F384" s="1">
        <f t="shared" si="15"/>
        <v>0</v>
      </c>
    </row>
    <row r="385" s="1" customFormat="1" spans="5:6">
      <c r="E385" s="1">
        <f t="shared" si="14"/>
        <v>0</v>
      </c>
      <c r="F385" s="1">
        <f t="shared" si="15"/>
        <v>0</v>
      </c>
    </row>
    <row r="386" s="1" customFormat="1" spans="5:6">
      <c r="E386" s="1">
        <f t="shared" ref="E386:E449" si="16">IF(B386="买入",C386/D386,IF(B386="卖出",-C386/D386,0))</f>
        <v>0</v>
      </c>
      <c r="F386" s="1">
        <f t="shared" ref="F386:F449" si="17">IF(B386="买入",-C386,IF(B386="卖出",C386,0))</f>
        <v>0</v>
      </c>
    </row>
    <row r="387" s="1" customFormat="1" spans="5:6">
      <c r="E387" s="1">
        <f t="shared" si="16"/>
        <v>0</v>
      </c>
      <c r="F387" s="1">
        <f t="shared" si="17"/>
        <v>0</v>
      </c>
    </row>
    <row r="388" s="1" customFormat="1" spans="5:6">
      <c r="E388" s="1">
        <f t="shared" si="16"/>
        <v>0</v>
      </c>
      <c r="F388" s="1">
        <f t="shared" si="17"/>
        <v>0</v>
      </c>
    </row>
    <row r="389" s="1" customFormat="1" spans="5:6">
      <c r="E389" s="1">
        <f t="shared" si="16"/>
        <v>0</v>
      </c>
      <c r="F389" s="1">
        <f t="shared" si="17"/>
        <v>0</v>
      </c>
    </row>
    <row r="390" s="1" customFormat="1" spans="5:6">
      <c r="E390" s="1">
        <f t="shared" si="16"/>
        <v>0</v>
      </c>
      <c r="F390" s="1">
        <f t="shared" si="17"/>
        <v>0</v>
      </c>
    </row>
    <row r="391" s="1" customFormat="1" spans="5:6">
      <c r="E391" s="1">
        <f t="shared" si="16"/>
        <v>0</v>
      </c>
      <c r="F391" s="1">
        <f t="shared" si="17"/>
        <v>0</v>
      </c>
    </row>
    <row r="392" s="1" customFormat="1" spans="5:6">
      <c r="E392" s="1">
        <f t="shared" si="16"/>
        <v>0</v>
      </c>
      <c r="F392" s="1">
        <f t="shared" si="17"/>
        <v>0</v>
      </c>
    </row>
    <row r="393" s="1" customFormat="1" spans="5:6">
      <c r="E393" s="1">
        <f t="shared" si="16"/>
        <v>0</v>
      </c>
      <c r="F393" s="1">
        <f t="shared" si="17"/>
        <v>0</v>
      </c>
    </row>
    <row r="394" s="1" customFormat="1" spans="5:6">
      <c r="E394" s="1">
        <f t="shared" si="16"/>
        <v>0</v>
      </c>
      <c r="F394" s="1">
        <f t="shared" si="17"/>
        <v>0</v>
      </c>
    </row>
    <row r="395" s="1" customFormat="1" spans="5:6">
      <c r="E395" s="1">
        <f t="shared" si="16"/>
        <v>0</v>
      </c>
      <c r="F395" s="1">
        <f t="shared" si="17"/>
        <v>0</v>
      </c>
    </row>
    <row r="396" s="1" customFormat="1" spans="5:6">
      <c r="E396" s="1">
        <f t="shared" si="16"/>
        <v>0</v>
      </c>
      <c r="F396" s="1">
        <f t="shared" si="17"/>
        <v>0</v>
      </c>
    </row>
    <row r="397" s="1" customFormat="1" spans="5:6">
      <c r="E397" s="1">
        <f t="shared" si="16"/>
        <v>0</v>
      </c>
      <c r="F397" s="1">
        <f t="shared" si="17"/>
        <v>0</v>
      </c>
    </row>
    <row r="398" s="1" customFormat="1" spans="5:6">
      <c r="E398" s="1">
        <f t="shared" si="16"/>
        <v>0</v>
      </c>
      <c r="F398" s="1">
        <f t="shared" si="17"/>
        <v>0</v>
      </c>
    </row>
    <row r="399" s="1" customFormat="1" spans="5:6">
      <c r="E399" s="1">
        <f t="shared" si="16"/>
        <v>0</v>
      </c>
      <c r="F399" s="1">
        <f t="shared" si="17"/>
        <v>0</v>
      </c>
    </row>
    <row r="400" s="1" customFormat="1" spans="5:6">
      <c r="E400" s="1">
        <f t="shared" si="16"/>
        <v>0</v>
      </c>
      <c r="F400" s="1">
        <f t="shared" si="17"/>
        <v>0</v>
      </c>
    </row>
    <row r="401" s="1" customFormat="1" spans="5:6">
      <c r="E401" s="1">
        <f t="shared" si="16"/>
        <v>0</v>
      </c>
      <c r="F401" s="1">
        <f t="shared" si="17"/>
        <v>0</v>
      </c>
    </row>
    <row r="402" s="1" customFormat="1" spans="5:6">
      <c r="E402" s="1">
        <f t="shared" si="16"/>
        <v>0</v>
      </c>
      <c r="F402" s="1">
        <f t="shared" si="17"/>
        <v>0</v>
      </c>
    </row>
    <row r="403" s="1" customFormat="1" spans="5:6">
      <c r="E403" s="1">
        <f t="shared" si="16"/>
        <v>0</v>
      </c>
      <c r="F403" s="1">
        <f t="shared" si="17"/>
        <v>0</v>
      </c>
    </row>
    <row r="404" s="1" customFormat="1" spans="5:6">
      <c r="E404" s="1">
        <f t="shared" si="16"/>
        <v>0</v>
      </c>
      <c r="F404" s="1">
        <f t="shared" si="17"/>
        <v>0</v>
      </c>
    </row>
    <row r="405" s="1" customFormat="1" spans="5:6">
      <c r="E405" s="1">
        <f t="shared" si="16"/>
        <v>0</v>
      </c>
      <c r="F405" s="1">
        <f t="shared" si="17"/>
        <v>0</v>
      </c>
    </row>
    <row r="406" s="1" customFormat="1" spans="5:6">
      <c r="E406" s="1">
        <f t="shared" si="16"/>
        <v>0</v>
      </c>
      <c r="F406" s="1">
        <f t="shared" si="17"/>
        <v>0</v>
      </c>
    </row>
    <row r="407" s="1" customFormat="1" spans="5:6">
      <c r="E407" s="1">
        <f t="shared" si="16"/>
        <v>0</v>
      </c>
      <c r="F407" s="1">
        <f t="shared" si="17"/>
        <v>0</v>
      </c>
    </row>
    <row r="408" s="1" customFormat="1" spans="5:6">
      <c r="E408" s="1">
        <f t="shared" si="16"/>
        <v>0</v>
      </c>
      <c r="F408" s="1">
        <f t="shared" si="17"/>
        <v>0</v>
      </c>
    </row>
    <row r="409" s="1" customFormat="1" spans="5:6">
      <c r="E409" s="1">
        <f t="shared" si="16"/>
        <v>0</v>
      </c>
      <c r="F409" s="1">
        <f t="shared" si="17"/>
        <v>0</v>
      </c>
    </row>
    <row r="410" s="1" customFormat="1" spans="5:6">
      <c r="E410" s="1">
        <f t="shared" si="16"/>
        <v>0</v>
      </c>
      <c r="F410" s="1">
        <f t="shared" si="17"/>
        <v>0</v>
      </c>
    </row>
    <row r="411" s="1" customFormat="1" spans="5:6">
      <c r="E411" s="1">
        <f t="shared" si="16"/>
        <v>0</v>
      </c>
      <c r="F411" s="1">
        <f t="shared" si="17"/>
        <v>0</v>
      </c>
    </row>
    <row r="412" s="1" customFormat="1" spans="5:6">
      <c r="E412" s="1">
        <f t="shared" si="16"/>
        <v>0</v>
      </c>
      <c r="F412" s="1">
        <f t="shared" si="17"/>
        <v>0</v>
      </c>
    </row>
    <row r="413" s="1" customFormat="1" spans="5:6">
      <c r="E413" s="1">
        <f t="shared" si="16"/>
        <v>0</v>
      </c>
      <c r="F413" s="1">
        <f t="shared" si="17"/>
        <v>0</v>
      </c>
    </row>
    <row r="414" s="1" customFormat="1" spans="5:6">
      <c r="E414" s="1">
        <f t="shared" si="16"/>
        <v>0</v>
      </c>
      <c r="F414" s="1">
        <f t="shared" si="17"/>
        <v>0</v>
      </c>
    </row>
    <row r="415" s="1" customFormat="1" spans="5:6">
      <c r="E415" s="1">
        <f t="shared" si="16"/>
        <v>0</v>
      </c>
      <c r="F415" s="1">
        <f t="shared" si="17"/>
        <v>0</v>
      </c>
    </row>
    <row r="416" s="1" customFormat="1" spans="5:6">
      <c r="E416" s="1">
        <f t="shared" si="16"/>
        <v>0</v>
      </c>
      <c r="F416" s="1">
        <f t="shared" si="17"/>
        <v>0</v>
      </c>
    </row>
    <row r="417" s="1" customFormat="1" spans="5:6">
      <c r="E417" s="1">
        <f t="shared" si="16"/>
        <v>0</v>
      </c>
      <c r="F417" s="1">
        <f t="shared" si="17"/>
        <v>0</v>
      </c>
    </row>
    <row r="418" s="1" customFormat="1" spans="5:6">
      <c r="E418" s="1">
        <f t="shared" si="16"/>
        <v>0</v>
      </c>
      <c r="F418" s="1">
        <f t="shared" si="17"/>
        <v>0</v>
      </c>
    </row>
    <row r="419" s="1" customFormat="1" spans="5:6">
      <c r="E419" s="1">
        <f t="shared" si="16"/>
        <v>0</v>
      </c>
      <c r="F419" s="1">
        <f t="shared" si="17"/>
        <v>0</v>
      </c>
    </row>
    <row r="420" s="1" customFormat="1" spans="5:6">
      <c r="E420" s="1">
        <f t="shared" si="16"/>
        <v>0</v>
      </c>
      <c r="F420" s="1">
        <f t="shared" si="17"/>
        <v>0</v>
      </c>
    </row>
    <row r="421" s="1" customFormat="1" spans="5:6">
      <c r="E421" s="1">
        <f t="shared" si="16"/>
        <v>0</v>
      </c>
      <c r="F421" s="1">
        <f t="shared" si="17"/>
        <v>0</v>
      </c>
    </row>
    <row r="422" s="1" customFormat="1" spans="5:6">
      <c r="E422" s="1">
        <f t="shared" si="16"/>
        <v>0</v>
      </c>
      <c r="F422" s="1">
        <f t="shared" si="17"/>
        <v>0</v>
      </c>
    </row>
    <row r="423" s="1" customFormat="1" spans="5:6">
      <c r="E423" s="1">
        <f t="shared" si="16"/>
        <v>0</v>
      </c>
      <c r="F423" s="1">
        <f t="shared" si="17"/>
        <v>0</v>
      </c>
    </row>
    <row r="424" s="1" customFormat="1" spans="5:6">
      <c r="E424" s="1">
        <f t="shared" si="16"/>
        <v>0</v>
      </c>
      <c r="F424" s="1">
        <f t="shared" si="17"/>
        <v>0</v>
      </c>
    </row>
    <row r="425" s="1" customFormat="1" spans="5:6">
      <c r="E425" s="1">
        <f t="shared" si="16"/>
        <v>0</v>
      </c>
      <c r="F425" s="1">
        <f t="shared" si="17"/>
        <v>0</v>
      </c>
    </row>
    <row r="426" s="1" customFormat="1" spans="5:6">
      <c r="E426" s="1">
        <f t="shared" si="16"/>
        <v>0</v>
      </c>
      <c r="F426" s="1">
        <f t="shared" si="17"/>
        <v>0</v>
      </c>
    </row>
    <row r="427" s="1" customFormat="1" spans="5:6">
      <c r="E427" s="1">
        <f t="shared" si="16"/>
        <v>0</v>
      </c>
      <c r="F427" s="1">
        <f t="shared" si="17"/>
        <v>0</v>
      </c>
    </row>
    <row r="428" s="1" customFormat="1" spans="5:6">
      <c r="E428" s="1">
        <f t="shared" si="16"/>
        <v>0</v>
      </c>
      <c r="F428" s="1">
        <f t="shared" si="17"/>
        <v>0</v>
      </c>
    </row>
    <row r="429" s="1" customFormat="1" spans="5:6">
      <c r="E429" s="1">
        <f t="shared" si="16"/>
        <v>0</v>
      </c>
      <c r="F429" s="1">
        <f t="shared" si="17"/>
        <v>0</v>
      </c>
    </row>
    <row r="430" s="1" customFormat="1" spans="5:6">
      <c r="E430" s="1">
        <f t="shared" si="16"/>
        <v>0</v>
      </c>
      <c r="F430" s="1">
        <f t="shared" si="17"/>
        <v>0</v>
      </c>
    </row>
    <row r="431" s="1" customFormat="1" spans="5:6">
      <c r="E431" s="1">
        <f t="shared" si="16"/>
        <v>0</v>
      </c>
      <c r="F431" s="1">
        <f t="shared" si="17"/>
        <v>0</v>
      </c>
    </row>
    <row r="432" s="1" customFormat="1" spans="5:6">
      <c r="E432" s="1">
        <f t="shared" si="16"/>
        <v>0</v>
      </c>
      <c r="F432" s="1">
        <f t="shared" si="17"/>
        <v>0</v>
      </c>
    </row>
    <row r="433" s="1" customFormat="1" spans="5:6">
      <c r="E433" s="1">
        <f t="shared" si="16"/>
        <v>0</v>
      </c>
      <c r="F433" s="1">
        <f t="shared" si="17"/>
        <v>0</v>
      </c>
    </row>
    <row r="434" s="1" customFormat="1" spans="5:6">
      <c r="E434" s="1">
        <f t="shared" si="16"/>
        <v>0</v>
      </c>
      <c r="F434" s="1">
        <f t="shared" si="17"/>
        <v>0</v>
      </c>
    </row>
    <row r="435" s="1" customFormat="1" spans="5:6">
      <c r="E435" s="1">
        <f t="shared" si="16"/>
        <v>0</v>
      </c>
      <c r="F435" s="1">
        <f t="shared" si="17"/>
        <v>0</v>
      </c>
    </row>
    <row r="436" s="1" customFormat="1" spans="5:6">
      <c r="E436" s="1">
        <f t="shared" si="16"/>
        <v>0</v>
      </c>
      <c r="F436" s="1">
        <f t="shared" si="17"/>
        <v>0</v>
      </c>
    </row>
    <row r="437" s="1" customFormat="1" spans="5:6">
      <c r="E437" s="1">
        <f t="shared" si="16"/>
        <v>0</v>
      </c>
      <c r="F437" s="1">
        <f t="shared" si="17"/>
        <v>0</v>
      </c>
    </row>
    <row r="438" s="1" customFormat="1" spans="5:6">
      <c r="E438" s="1">
        <f t="shared" si="16"/>
        <v>0</v>
      </c>
      <c r="F438" s="1">
        <f t="shared" si="17"/>
        <v>0</v>
      </c>
    </row>
    <row r="439" s="1" customFormat="1" spans="5:6">
      <c r="E439" s="1">
        <f t="shared" si="16"/>
        <v>0</v>
      </c>
      <c r="F439" s="1">
        <f t="shared" si="17"/>
        <v>0</v>
      </c>
    </row>
    <row r="440" s="1" customFormat="1" spans="5:6">
      <c r="E440" s="1">
        <f t="shared" si="16"/>
        <v>0</v>
      </c>
      <c r="F440" s="1">
        <f t="shared" si="17"/>
        <v>0</v>
      </c>
    </row>
    <row r="441" s="1" customFormat="1" spans="5:6">
      <c r="E441" s="1">
        <f t="shared" si="16"/>
        <v>0</v>
      </c>
      <c r="F441" s="1">
        <f t="shared" si="17"/>
        <v>0</v>
      </c>
    </row>
    <row r="442" s="1" customFormat="1" spans="5:6">
      <c r="E442" s="1">
        <f t="shared" si="16"/>
        <v>0</v>
      </c>
      <c r="F442" s="1">
        <f t="shared" si="17"/>
        <v>0</v>
      </c>
    </row>
    <row r="443" s="1" customFormat="1" spans="5:6">
      <c r="E443" s="1">
        <f t="shared" si="16"/>
        <v>0</v>
      </c>
      <c r="F443" s="1">
        <f t="shared" si="17"/>
        <v>0</v>
      </c>
    </row>
    <row r="444" s="1" customFormat="1" spans="5:6">
      <c r="E444" s="1">
        <f t="shared" si="16"/>
        <v>0</v>
      </c>
      <c r="F444" s="1">
        <f t="shared" si="17"/>
        <v>0</v>
      </c>
    </row>
    <row r="445" s="1" customFormat="1" spans="5:6">
      <c r="E445" s="1">
        <f t="shared" si="16"/>
        <v>0</v>
      </c>
      <c r="F445" s="1">
        <f t="shared" si="17"/>
        <v>0</v>
      </c>
    </row>
    <row r="446" s="1" customFormat="1" spans="5:6">
      <c r="E446" s="1">
        <f t="shared" si="16"/>
        <v>0</v>
      </c>
      <c r="F446" s="1">
        <f t="shared" si="17"/>
        <v>0</v>
      </c>
    </row>
    <row r="447" s="1" customFormat="1" spans="5:6">
      <c r="E447" s="1">
        <f t="shared" si="16"/>
        <v>0</v>
      </c>
      <c r="F447" s="1">
        <f t="shared" si="17"/>
        <v>0</v>
      </c>
    </row>
    <row r="448" s="1" customFormat="1" spans="5:6">
      <c r="E448" s="1">
        <f t="shared" si="16"/>
        <v>0</v>
      </c>
      <c r="F448" s="1">
        <f t="shared" si="17"/>
        <v>0</v>
      </c>
    </row>
    <row r="449" s="1" customFormat="1" spans="5:6">
      <c r="E449" s="1">
        <f t="shared" si="16"/>
        <v>0</v>
      </c>
      <c r="F449" s="1">
        <f t="shared" si="17"/>
        <v>0</v>
      </c>
    </row>
    <row r="450" s="1" customFormat="1" spans="5:6">
      <c r="E450" s="1">
        <f t="shared" ref="E450:E513" si="18">IF(B450="买入",C450/D450,IF(B450="卖出",-C450/D450,0))</f>
        <v>0</v>
      </c>
      <c r="F450" s="1">
        <f t="shared" ref="F450:F513" si="19">IF(B450="买入",-C450,IF(B450="卖出",C450,0))</f>
        <v>0</v>
      </c>
    </row>
    <row r="451" s="1" customFormat="1" spans="5:6">
      <c r="E451" s="1">
        <f t="shared" si="18"/>
        <v>0</v>
      </c>
      <c r="F451" s="1">
        <f t="shared" si="19"/>
        <v>0</v>
      </c>
    </row>
    <row r="452" s="1" customFormat="1" spans="5:6">
      <c r="E452" s="1">
        <f t="shared" si="18"/>
        <v>0</v>
      </c>
      <c r="F452" s="1">
        <f t="shared" si="19"/>
        <v>0</v>
      </c>
    </row>
    <row r="453" s="1" customFormat="1" spans="5:6">
      <c r="E453" s="1">
        <f t="shared" si="18"/>
        <v>0</v>
      </c>
      <c r="F453" s="1">
        <f t="shared" si="19"/>
        <v>0</v>
      </c>
    </row>
    <row r="454" s="1" customFormat="1" spans="5:6">
      <c r="E454" s="1">
        <f t="shared" si="18"/>
        <v>0</v>
      </c>
      <c r="F454" s="1">
        <f t="shared" si="19"/>
        <v>0</v>
      </c>
    </row>
    <row r="455" s="1" customFormat="1" spans="5:6">
      <c r="E455" s="1">
        <f t="shared" si="18"/>
        <v>0</v>
      </c>
      <c r="F455" s="1">
        <f t="shared" si="19"/>
        <v>0</v>
      </c>
    </row>
    <row r="456" s="1" customFormat="1" spans="5:6">
      <c r="E456" s="1">
        <f t="shared" si="18"/>
        <v>0</v>
      </c>
      <c r="F456" s="1">
        <f t="shared" si="19"/>
        <v>0</v>
      </c>
    </row>
    <row r="457" s="1" customFormat="1" spans="5:6">
      <c r="E457" s="1">
        <f t="shared" si="18"/>
        <v>0</v>
      </c>
      <c r="F457" s="1">
        <f t="shared" si="19"/>
        <v>0</v>
      </c>
    </row>
    <row r="458" s="1" customFormat="1" spans="5:6">
      <c r="E458" s="1">
        <f t="shared" si="18"/>
        <v>0</v>
      </c>
      <c r="F458" s="1">
        <f t="shared" si="19"/>
        <v>0</v>
      </c>
    </row>
    <row r="459" s="1" customFormat="1" spans="5:6">
      <c r="E459" s="1">
        <f t="shared" si="18"/>
        <v>0</v>
      </c>
      <c r="F459" s="1">
        <f t="shared" si="19"/>
        <v>0</v>
      </c>
    </row>
    <row r="460" s="1" customFormat="1" spans="5:6">
      <c r="E460" s="1">
        <f t="shared" si="18"/>
        <v>0</v>
      </c>
      <c r="F460" s="1">
        <f t="shared" si="19"/>
        <v>0</v>
      </c>
    </row>
    <row r="461" s="1" customFormat="1" spans="5:6">
      <c r="E461" s="1">
        <f t="shared" si="18"/>
        <v>0</v>
      </c>
      <c r="F461" s="1">
        <f t="shared" si="19"/>
        <v>0</v>
      </c>
    </row>
    <row r="462" s="1" customFormat="1" spans="5:6">
      <c r="E462" s="1">
        <f t="shared" si="18"/>
        <v>0</v>
      </c>
      <c r="F462" s="1">
        <f t="shared" si="19"/>
        <v>0</v>
      </c>
    </row>
    <row r="463" s="1" customFormat="1" spans="5:6">
      <c r="E463" s="1">
        <f t="shared" si="18"/>
        <v>0</v>
      </c>
      <c r="F463" s="1">
        <f t="shared" si="19"/>
        <v>0</v>
      </c>
    </row>
    <row r="464" s="1" customFormat="1" spans="5:6">
      <c r="E464" s="1">
        <f t="shared" si="18"/>
        <v>0</v>
      </c>
      <c r="F464" s="1">
        <f t="shared" si="19"/>
        <v>0</v>
      </c>
    </row>
    <row r="465" s="1" customFormat="1" spans="5:6">
      <c r="E465" s="1">
        <f t="shared" si="18"/>
        <v>0</v>
      </c>
      <c r="F465" s="1">
        <f t="shared" si="19"/>
        <v>0</v>
      </c>
    </row>
    <row r="466" s="1" customFormat="1" spans="5:6">
      <c r="E466" s="1">
        <f t="shared" si="18"/>
        <v>0</v>
      </c>
      <c r="F466" s="1">
        <f t="shared" si="19"/>
        <v>0</v>
      </c>
    </row>
    <row r="467" s="1" customFormat="1" spans="5:6">
      <c r="E467" s="1">
        <f t="shared" si="18"/>
        <v>0</v>
      </c>
      <c r="F467" s="1">
        <f t="shared" si="19"/>
        <v>0</v>
      </c>
    </row>
    <row r="468" s="1" customFormat="1" spans="5:6">
      <c r="E468" s="1">
        <f t="shared" si="18"/>
        <v>0</v>
      </c>
      <c r="F468" s="1">
        <f t="shared" si="19"/>
        <v>0</v>
      </c>
    </row>
    <row r="469" s="1" customFormat="1" spans="5:6">
      <c r="E469" s="1">
        <f t="shared" si="18"/>
        <v>0</v>
      </c>
      <c r="F469" s="1">
        <f t="shared" si="19"/>
        <v>0</v>
      </c>
    </row>
    <row r="470" s="1" customFormat="1" spans="5:6">
      <c r="E470" s="1">
        <f t="shared" si="18"/>
        <v>0</v>
      </c>
      <c r="F470" s="1">
        <f t="shared" si="19"/>
        <v>0</v>
      </c>
    </row>
    <row r="471" s="1" customFormat="1" spans="5:6">
      <c r="E471" s="1">
        <f t="shared" si="18"/>
        <v>0</v>
      </c>
      <c r="F471" s="1">
        <f t="shared" si="19"/>
        <v>0</v>
      </c>
    </row>
    <row r="472" s="1" customFormat="1" spans="5:6">
      <c r="E472" s="1">
        <f t="shared" si="18"/>
        <v>0</v>
      </c>
      <c r="F472" s="1">
        <f t="shared" si="19"/>
        <v>0</v>
      </c>
    </row>
    <row r="473" s="1" customFormat="1" spans="5:6">
      <c r="E473" s="1">
        <f t="shared" si="18"/>
        <v>0</v>
      </c>
      <c r="F473" s="1">
        <f t="shared" si="19"/>
        <v>0</v>
      </c>
    </row>
    <row r="474" s="1" customFormat="1" spans="5:6">
      <c r="E474" s="1">
        <f t="shared" si="18"/>
        <v>0</v>
      </c>
      <c r="F474" s="1">
        <f t="shared" si="19"/>
        <v>0</v>
      </c>
    </row>
    <row r="475" s="1" customFormat="1" spans="5:6">
      <c r="E475" s="1">
        <f t="shared" si="18"/>
        <v>0</v>
      </c>
      <c r="F475" s="1">
        <f t="shared" si="19"/>
        <v>0</v>
      </c>
    </row>
    <row r="476" s="1" customFormat="1" spans="5:6">
      <c r="E476" s="1">
        <f t="shared" si="18"/>
        <v>0</v>
      </c>
      <c r="F476" s="1">
        <f t="shared" si="19"/>
        <v>0</v>
      </c>
    </row>
    <row r="477" s="1" customFormat="1" spans="5:6">
      <c r="E477" s="1">
        <f t="shared" si="18"/>
        <v>0</v>
      </c>
      <c r="F477" s="1">
        <f t="shared" si="19"/>
        <v>0</v>
      </c>
    </row>
    <row r="478" s="1" customFormat="1" spans="5:6">
      <c r="E478" s="1">
        <f t="shared" si="18"/>
        <v>0</v>
      </c>
      <c r="F478" s="1">
        <f t="shared" si="19"/>
        <v>0</v>
      </c>
    </row>
    <row r="479" s="1" customFormat="1" spans="5:6">
      <c r="E479" s="1">
        <f t="shared" si="18"/>
        <v>0</v>
      </c>
      <c r="F479" s="1">
        <f t="shared" si="19"/>
        <v>0</v>
      </c>
    </row>
    <row r="480" s="1" customFormat="1" spans="5:6">
      <c r="E480" s="1">
        <f t="shared" si="18"/>
        <v>0</v>
      </c>
      <c r="F480" s="1">
        <f t="shared" si="19"/>
        <v>0</v>
      </c>
    </row>
    <row r="481" s="1" customFormat="1" spans="5:6">
      <c r="E481" s="1">
        <f t="shared" si="18"/>
        <v>0</v>
      </c>
      <c r="F481" s="1">
        <f t="shared" si="19"/>
        <v>0</v>
      </c>
    </row>
    <row r="482" s="1" customFormat="1" spans="5:6">
      <c r="E482" s="1">
        <f t="shared" si="18"/>
        <v>0</v>
      </c>
      <c r="F482" s="1">
        <f t="shared" si="19"/>
        <v>0</v>
      </c>
    </row>
    <row r="483" s="1" customFormat="1" spans="5:6">
      <c r="E483" s="1">
        <f t="shared" si="18"/>
        <v>0</v>
      </c>
      <c r="F483" s="1">
        <f t="shared" si="19"/>
        <v>0</v>
      </c>
    </row>
    <row r="484" s="1" customFormat="1" spans="5:6">
      <c r="E484" s="1">
        <f t="shared" si="18"/>
        <v>0</v>
      </c>
      <c r="F484" s="1">
        <f t="shared" si="19"/>
        <v>0</v>
      </c>
    </row>
    <row r="485" s="1" customFormat="1" spans="5:6">
      <c r="E485" s="1">
        <f t="shared" si="18"/>
        <v>0</v>
      </c>
      <c r="F485" s="1">
        <f t="shared" si="19"/>
        <v>0</v>
      </c>
    </row>
    <row r="486" s="1" customFormat="1" spans="5:6">
      <c r="E486" s="1">
        <f t="shared" si="18"/>
        <v>0</v>
      </c>
      <c r="F486" s="1">
        <f t="shared" si="19"/>
        <v>0</v>
      </c>
    </row>
    <row r="487" s="1" customFormat="1" spans="5:6">
      <c r="E487" s="1">
        <f t="shared" si="18"/>
        <v>0</v>
      </c>
      <c r="F487" s="1">
        <f t="shared" si="19"/>
        <v>0</v>
      </c>
    </row>
    <row r="488" s="1" customFormat="1" spans="5:6">
      <c r="E488" s="1">
        <f t="shared" si="18"/>
        <v>0</v>
      </c>
      <c r="F488" s="1">
        <f t="shared" si="19"/>
        <v>0</v>
      </c>
    </row>
    <row r="489" s="1" customFormat="1" spans="5:6">
      <c r="E489" s="1">
        <f t="shared" si="18"/>
        <v>0</v>
      </c>
      <c r="F489" s="1">
        <f t="shared" si="19"/>
        <v>0</v>
      </c>
    </row>
    <row r="490" s="1" customFormat="1" spans="5:6">
      <c r="E490" s="1">
        <f t="shared" si="18"/>
        <v>0</v>
      </c>
      <c r="F490" s="1">
        <f t="shared" si="19"/>
        <v>0</v>
      </c>
    </row>
    <row r="491" s="1" customFormat="1" spans="5:6">
      <c r="E491" s="1">
        <f t="shared" si="18"/>
        <v>0</v>
      </c>
      <c r="F491" s="1">
        <f t="shared" si="19"/>
        <v>0</v>
      </c>
    </row>
    <row r="492" s="1" customFormat="1" spans="5:6">
      <c r="E492" s="1">
        <f t="shared" si="18"/>
        <v>0</v>
      </c>
      <c r="F492" s="1">
        <f t="shared" si="19"/>
        <v>0</v>
      </c>
    </row>
    <row r="493" s="1" customFormat="1" spans="5:6">
      <c r="E493" s="1">
        <f t="shared" si="18"/>
        <v>0</v>
      </c>
      <c r="F493" s="1">
        <f t="shared" si="19"/>
        <v>0</v>
      </c>
    </row>
    <row r="494" s="1" customFormat="1" spans="5:6">
      <c r="E494" s="1">
        <f t="shared" si="18"/>
        <v>0</v>
      </c>
      <c r="F494" s="1">
        <f t="shared" si="19"/>
        <v>0</v>
      </c>
    </row>
    <row r="495" s="1" customFormat="1" spans="5:6">
      <c r="E495" s="1">
        <f t="shared" si="18"/>
        <v>0</v>
      </c>
      <c r="F495" s="1">
        <f t="shared" si="19"/>
        <v>0</v>
      </c>
    </row>
    <row r="496" s="1" customFormat="1" spans="5:6">
      <c r="E496" s="1">
        <f t="shared" si="18"/>
        <v>0</v>
      </c>
      <c r="F496" s="1">
        <f t="shared" si="19"/>
        <v>0</v>
      </c>
    </row>
    <row r="497" s="1" customFormat="1" spans="5:6">
      <c r="E497" s="1">
        <f t="shared" si="18"/>
        <v>0</v>
      </c>
      <c r="F497" s="1">
        <f t="shared" si="19"/>
        <v>0</v>
      </c>
    </row>
    <row r="498" s="1" customFormat="1" spans="5:6">
      <c r="E498" s="1">
        <f t="shared" si="18"/>
        <v>0</v>
      </c>
      <c r="F498" s="1">
        <f t="shared" si="19"/>
        <v>0</v>
      </c>
    </row>
    <row r="499" s="1" customFormat="1" spans="5:6">
      <c r="E499" s="1">
        <f t="shared" si="18"/>
        <v>0</v>
      </c>
      <c r="F499" s="1">
        <f t="shared" si="19"/>
        <v>0</v>
      </c>
    </row>
    <row r="500" s="1" customFormat="1" spans="5:6">
      <c r="E500" s="1">
        <f t="shared" si="18"/>
        <v>0</v>
      </c>
      <c r="F500" s="1">
        <f t="shared" si="19"/>
        <v>0</v>
      </c>
    </row>
    <row r="501" s="1" customFormat="1" spans="5:6">
      <c r="E501" s="1">
        <f t="shared" si="18"/>
        <v>0</v>
      </c>
      <c r="F501" s="1">
        <f t="shared" si="19"/>
        <v>0</v>
      </c>
    </row>
    <row r="502" s="1" customFormat="1" spans="5:6">
      <c r="E502" s="1">
        <f t="shared" si="18"/>
        <v>0</v>
      </c>
      <c r="F502" s="1">
        <f t="shared" si="19"/>
        <v>0</v>
      </c>
    </row>
    <row r="503" s="1" customFormat="1" spans="5:6">
      <c r="E503" s="1">
        <f t="shared" si="18"/>
        <v>0</v>
      </c>
      <c r="F503" s="1">
        <f t="shared" si="19"/>
        <v>0</v>
      </c>
    </row>
    <row r="504" s="1" customFormat="1" spans="5:6">
      <c r="E504" s="1">
        <f t="shared" si="18"/>
        <v>0</v>
      </c>
      <c r="F504" s="1">
        <f t="shared" si="19"/>
        <v>0</v>
      </c>
    </row>
    <row r="505" s="1" customFormat="1" spans="5:6">
      <c r="E505" s="1">
        <f t="shared" si="18"/>
        <v>0</v>
      </c>
      <c r="F505" s="1">
        <f t="shared" si="19"/>
        <v>0</v>
      </c>
    </row>
    <row r="506" s="1" customFormat="1" spans="5:6">
      <c r="E506" s="1">
        <f t="shared" si="18"/>
        <v>0</v>
      </c>
      <c r="F506" s="1">
        <f t="shared" si="19"/>
        <v>0</v>
      </c>
    </row>
    <row r="507" s="1" customFormat="1" spans="5:6">
      <c r="E507" s="1">
        <f t="shared" si="18"/>
        <v>0</v>
      </c>
      <c r="F507" s="1">
        <f t="shared" si="19"/>
        <v>0</v>
      </c>
    </row>
    <row r="508" s="1" customFormat="1" spans="5:6">
      <c r="E508" s="1">
        <f t="shared" si="18"/>
        <v>0</v>
      </c>
      <c r="F508" s="1">
        <f t="shared" si="19"/>
        <v>0</v>
      </c>
    </row>
    <row r="509" s="1" customFormat="1" spans="5:6">
      <c r="E509" s="1">
        <f t="shared" si="18"/>
        <v>0</v>
      </c>
      <c r="F509" s="1">
        <f t="shared" si="19"/>
        <v>0</v>
      </c>
    </row>
    <row r="510" s="1" customFormat="1" spans="5:6">
      <c r="E510" s="1">
        <f t="shared" si="18"/>
        <v>0</v>
      </c>
      <c r="F510" s="1">
        <f t="shared" si="19"/>
        <v>0</v>
      </c>
    </row>
    <row r="511" s="1" customFormat="1" spans="5:6">
      <c r="E511" s="1">
        <f t="shared" si="18"/>
        <v>0</v>
      </c>
      <c r="F511" s="1">
        <f t="shared" si="19"/>
        <v>0</v>
      </c>
    </row>
    <row r="512" s="1" customFormat="1" spans="5:6">
      <c r="E512" s="1">
        <f t="shared" si="18"/>
        <v>0</v>
      </c>
      <c r="F512" s="1">
        <f t="shared" si="19"/>
        <v>0</v>
      </c>
    </row>
    <row r="513" s="1" customFormat="1" spans="5:6">
      <c r="E513" s="1">
        <f t="shared" si="18"/>
        <v>0</v>
      </c>
      <c r="F513" s="1">
        <f t="shared" si="19"/>
        <v>0</v>
      </c>
    </row>
    <row r="514" s="1" customFormat="1" spans="5:6">
      <c r="E514" s="1">
        <f t="shared" ref="E514:E577" si="20">IF(B514="买入",C514/D514,IF(B514="卖出",-C514/D514,0))</f>
        <v>0</v>
      </c>
      <c r="F514" s="1">
        <f t="shared" ref="F514:F577" si="21">IF(B514="买入",-C514,IF(B514="卖出",C514,0))</f>
        <v>0</v>
      </c>
    </row>
    <row r="515" s="1" customFormat="1" spans="5:6">
      <c r="E515" s="1">
        <f t="shared" si="20"/>
        <v>0</v>
      </c>
      <c r="F515" s="1">
        <f t="shared" si="21"/>
        <v>0</v>
      </c>
    </row>
    <row r="516" s="1" customFormat="1" spans="5:6">
      <c r="E516" s="1">
        <f t="shared" si="20"/>
        <v>0</v>
      </c>
      <c r="F516" s="1">
        <f t="shared" si="21"/>
        <v>0</v>
      </c>
    </row>
    <row r="517" s="1" customFormat="1" spans="5:6">
      <c r="E517" s="1">
        <f t="shared" si="20"/>
        <v>0</v>
      </c>
      <c r="F517" s="1">
        <f t="shared" si="21"/>
        <v>0</v>
      </c>
    </row>
    <row r="518" s="1" customFormat="1" spans="5:6">
      <c r="E518" s="1">
        <f t="shared" si="20"/>
        <v>0</v>
      </c>
      <c r="F518" s="1">
        <f t="shared" si="21"/>
        <v>0</v>
      </c>
    </row>
    <row r="519" s="1" customFormat="1" spans="5:6">
      <c r="E519" s="1">
        <f t="shared" si="20"/>
        <v>0</v>
      </c>
      <c r="F519" s="1">
        <f t="shared" si="21"/>
        <v>0</v>
      </c>
    </row>
    <row r="520" s="1" customFormat="1" spans="5:6">
      <c r="E520" s="1">
        <f t="shared" si="20"/>
        <v>0</v>
      </c>
      <c r="F520" s="1">
        <f t="shared" si="21"/>
        <v>0</v>
      </c>
    </row>
    <row r="521" s="1" customFormat="1" spans="5:6">
      <c r="E521" s="1">
        <f t="shared" si="20"/>
        <v>0</v>
      </c>
      <c r="F521" s="1">
        <f t="shared" si="21"/>
        <v>0</v>
      </c>
    </row>
    <row r="522" s="1" customFormat="1" spans="5:6">
      <c r="E522" s="1">
        <f t="shared" si="20"/>
        <v>0</v>
      </c>
      <c r="F522" s="1">
        <f t="shared" si="21"/>
        <v>0</v>
      </c>
    </row>
    <row r="523" s="1" customFormat="1" spans="5:6">
      <c r="E523" s="1">
        <f t="shared" si="20"/>
        <v>0</v>
      </c>
      <c r="F523" s="1">
        <f t="shared" si="21"/>
        <v>0</v>
      </c>
    </row>
    <row r="524" s="1" customFormat="1" spans="5:6">
      <c r="E524" s="1">
        <f t="shared" si="20"/>
        <v>0</v>
      </c>
      <c r="F524" s="1">
        <f t="shared" si="21"/>
        <v>0</v>
      </c>
    </row>
    <row r="525" s="1" customFormat="1" spans="5:6">
      <c r="E525" s="1">
        <f t="shared" si="20"/>
        <v>0</v>
      </c>
      <c r="F525" s="1">
        <f t="shared" si="21"/>
        <v>0</v>
      </c>
    </row>
    <row r="526" s="1" customFormat="1" spans="5:6">
      <c r="E526" s="1">
        <f t="shared" si="20"/>
        <v>0</v>
      </c>
      <c r="F526" s="1">
        <f t="shared" si="21"/>
        <v>0</v>
      </c>
    </row>
    <row r="527" s="1" customFormat="1" spans="5:6">
      <c r="E527" s="1">
        <f t="shared" si="20"/>
        <v>0</v>
      </c>
      <c r="F527" s="1">
        <f t="shared" si="21"/>
        <v>0</v>
      </c>
    </row>
    <row r="528" s="1" customFormat="1" spans="5:6">
      <c r="E528" s="1">
        <f t="shared" si="20"/>
        <v>0</v>
      </c>
      <c r="F528" s="1">
        <f t="shared" si="21"/>
        <v>0</v>
      </c>
    </row>
    <row r="529" s="1" customFormat="1" spans="5:6">
      <c r="E529" s="1">
        <f t="shared" si="20"/>
        <v>0</v>
      </c>
      <c r="F529" s="1">
        <f t="shared" si="21"/>
        <v>0</v>
      </c>
    </row>
    <row r="530" s="1" customFormat="1" spans="5:6">
      <c r="E530" s="1">
        <f t="shared" si="20"/>
        <v>0</v>
      </c>
      <c r="F530" s="1">
        <f t="shared" si="21"/>
        <v>0</v>
      </c>
    </row>
    <row r="531" s="1" customFormat="1" spans="5:6">
      <c r="E531" s="1">
        <f t="shared" si="20"/>
        <v>0</v>
      </c>
      <c r="F531" s="1">
        <f t="shared" si="21"/>
        <v>0</v>
      </c>
    </row>
    <row r="532" s="1" customFormat="1" spans="5:6">
      <c r="E532" s="1">
        <f t="shared" si="20"/>
        <v>0</v>
      </c>
      <c r="F532" s="1">
        <f t="shared" si="21"/>
        <v>0</v>
      </c>
    </row>
    <row r="533" s="1" customFormat="1" spans="5:6">
      <c r="E533" s="1">
        <f t="shared" si="20"/>
        <v>0</v>
      </c>
      <c r="F533" s="1">
        <f t="shared" si="21"/>
        <v>0</v>
      </c>
    </row>
    <row r="534" s="1" customFormat="1" spans="5:6">
      <c r="E534" s="1">
        <f t="shared" si="20"/>
        <v>0</v>
      </c>
      <c r="F534" s="1">
        <f t="shared" si="21"/>
        <v>0</v>
      </c>
    </row>
    <row r="535" s="1" customFormat="1" spans="5:6">
      <c r="E535" s="1">
        <f t="shared" si="20"/>
        <v>0</v>
      </c>
      <c r="F535" s="1">
        <f t="shared" si="21"/>
        <v>0</v>
      </c>
    </row>
    <row r="536" s="1" customFormat="1" spans="5:6">
      <c r="E536" s="1">
        <f t="shared" si="20"/>
        <v>0</v>
      </c>
      <c r="F536" s="1">
        <f t="shared" si="21"/>
        <v>0</v>
      </c>
    </row>
    <row r="537" s="1" customFormat="1" spans="5:6">
      <c r="E537" s="1">
        <f t="shared" si="20"/>
        <v>0</v>
      </c>
      <c r="F537" s="1">
        <f t="shared" si="21"/>
        <v>0</v>
      </c>
    </row>
    <row r="538" s="1" customFormat="1" spans="5:6">
      <c r="E538" s="1">
        <f t="shared" si="20"/>
        <v>0</v>
      </c>
      <c r="F538" s="1">
        <f t="shared" si="21"/>
        <v>0</v>
      </c>
    </row>
    <row r="539" s="1" customFormat="1" spans="5:6">
      <c r="E539" s="1">
        <f t="shared" si="20"/>
        <v>0</v>
      </c>
      <c r="F539" s="1">
        <f t="shared" si="21"/>
        <v>0</v>
      </c>
    </row>
    <row r="540" s="1" customFormat="1" spans="5:6">
      <c r="E540" s="1">
        <f t="shared" si="20"/>
        <v>0</v>
      </c>
      <c r="F540" s="1">
        <f t="shared" si="21"/>
        <v>0</v>
      </c>
    </row>
    <row r="541" s="1" customFormat="1" spans="5:6">
      <c r="E541" s="1">
        <f t="shared" si="20"/>
        <v>0</v>
      </c>
      <c r="F541" s="1">
        <f t="shared" si="21"/>
        <v>0</v>
      </c>
    </row>
    <row r="542" s="1" customFormat="1" spans="5:6">
      <c r="E542" s="1">
        <f t="shared" si="20"/>
        <v>0</v>
      </c>
      <c r="F542" s="1">
        <f t="shared" si="21"/>
        <v>0</v>
      </c>
    </row>
    <row r="543" s="1" customFormat="1" spans="5:6">
      <c r="E543" s="1">
        <f t="shared" si="20"/>
        <v>0</v>
      </c>
      <c r="F543" s="1">
        <f t="shared" si="21"/>
        <v>0</v>
      </c>
    </row>
    <row r="544" s="1" customFormat="1" spans="5:6">
      <c r="E544" s="1">
        <f t="shared" si="20"/>
        <v>0</v>
      </c>
      <c r="F544" s="1">
        <f t="shared" si="21"/>
        <v>0</v>
      </c>
    </row>
    <row r="545" s="1" customFormat="1" spans="5:6">
      <c r="E545" s="1">
        <f t="shared" si="20"/>
        <v>0</v>
      </c>
      <c r="F545" s="1">
        <f t="shared" si="21"/>
        <v>0</v>
      </c>
    </row>
    <row r="546" s="1" customFormat="1" spans="5:6">
      <c r="E546" s="1">
        <f t="shared" si="20"/>
        <v>0</v>
      </c>
      <c r="F546" s="1">
        <f t="shared" si="21"/>
        <v>0</v>
      </c>
    </row>
    <row r="547" s="1" customFormat="1" spans="5:6">
      <c r="E547" s="1">
        <f t="shared" si="20"/>
        <v>0</v>
      </c>
      <c r="F547" s="1">
        <f t="shared" si="21"/>
        <v>0</v>
      </c>
    </row>
    <row r="548" s="1" customFormat="1" spans="5:6">
      <c r="E548" s="1">
        <f t="shared" si="20"/>
        <v>0</v>
      </c>
      <c r="F548" s="1">
        <f t="shared" si="21"/>
        <v>0</v>
      </c>
    </row>
    <row r="549" s="1" customFormat="1" spans="5:6">
      <c r="E549" s="1">
        <f t="shared" si="20"/>
        <v>0</v>
      </c>
      <c r="F549" s="1">
        <f t="shared" si="21"/>
        <v>0</v>
      </c>
    </row>
    <row r="550" s="1" customFormat="1" spans="5:6">
      <c r="E550" s="1">
        <f t="shared" si="20"/>
        <v>0</v>
      </c>
      <c r="F550" s="1">
        <f t="shared" si="21"/>
        <v>0</v>
      </c>
    </row>
    <row r="551" s="1" customFormat="1" spans="5:6">
      <c r="E551" s="1">
        <f t="shared" si="20"/>
        <v>0</v>
      </c>
      <c r="F551" s="1">
        <f t="shared" si="21"/>
        <v>0</v>
      </c>
    </row>
    <row r="552" s="1" customFormat="1" spans="5:6">
      <c r="E552" s="1">
        <f t="shared" si="20"/>
        <v>0</v>
      </c>
      <c r="F552" s="1">
        <f t="shared" si="21"/>
        <v>0</v>
      </c>
    </row>
    <row r="553" s="1" customFormat="1" spans="5:6">
      <c r="E553" s="1">
        <f t="shared" si="20"/>
        <v>0</v>
      </c>
      <c r="F553" s="1">
        <f t="shared" si="21"/>
        <v>0</v>
      </c>
    </row>
    <row r="554" s="1" customFormat="1" spans="5:6">
      <c r="E554" s="1">
        <f t="shared" si="20"/>
        <v>0</v>
      </c>
      <c r="F554" s="1">
        <f t="shared" si="21"/>
        <v>0</v>
      </c>
    </row>
    <row r="555" s="1" customFormat="1" spans="5:6">
      <c r="E555" s="1">
        <f t="shared" si="20"/>
        <v>0</v>
      </c>
      <c r="F555" s="1">
        <f t="shared" si="21"/>
        <v>0</v>
      </c>
    </row>
    <row r="556" s="1" customFormat="1" spans="5:6">
      <c r="E556" s="1">
        <f t="shared" si="20"/>
        <v>0</v>
      </c>
      <c r="F556" s="1">
        <f t="shared" si="21"/>
        <v>0</v>
      </c>
    </row>
    <row r="557" s="1" customFormat="1" spans="5:6">
      <c r="E557" s="1">
        <f t="shared" si="20"/>
        <v>0</v>
      </c>
      <c r="F557" s="1">
        <f t="shared" si="21"/>
        <v>0</v>
      </c>
    </row>
    <row r="558" s="1" customFormat="1" spans="5:6">
      <c r="E558" s="1">
        <f t="shared" si="20"/>
        <v>0</v>
      </c>
      <c r="F558" s="1">
        <f t="shared" si="21"/>
        <v>0</v>
      </c>
    </row>
    <row r="559" s="1" customFormat="1" spans="5:6">
      <c r="E559" s="1">
        <f t="shared" si="20"/>
        <v>0</v>
      </c>
      <c r="F559" s="1">
        <f t="shared" si="21"/>
        <v>0</v>
      </c>
    </row>
    <row r="560" s="1" customFormat="1" spans="5:6">
      <c r="E560" s="1">
        <f t="shared" si="20"/>
        <v>0</v>
      </c>
      <c r="F560" s="1">
        <f t="shared" si="21"/>
        <v>0</v>
      </c>
    </row>
    <row r="561" s="1" customFormat="1" spans="5:6">
      <c r="E561" s="1">
        <f t="shared" si="20"/>
        <v>0</v>
      </c>
      <c r="F561" s="1">
        <f t="shared" si="21"/>
        <v>0</v>
      </c>
    </row>
    <row r="562" s="1" customFormat="1" spans="5:6">
      <c r="E562" s="1">
        <f t="shared" si="20"/>
        <v>0</v>
      </c>
      <c r="F562" s="1">
        <f t="shared" si="21"/>
        <v>0</v>
      </c>
    </row>
    <row r="563" s="1" customFormat="1" spans="5:6">
      <c r="E563" s="1">
        <f t="shared" si="20"/>
        <v>0</v>
      </c>
      <c r="F563" s="1">
        <f t="shared" si="21"/>
        <v>0</v>
      </c>
    </row>
    <row r="564" s="1" customFormat="1" spans="5:6">
      <c r="E564" s="1">
        <f t="shared" si="20"/>
        <v>0</v>
      </c>
      <c r="F564" s="1">
        <f t="shared" si="21"/>
        <v>0</v>
      </c>
    </row>
    <row r="565" s="1" customFormat="1" spans="5:6">
      <c r="E565" s="1">
        <f t="shared" si="20"/>
        <v>0</v>
      </c>
      <c r="F565" s="1">
        <f t="shared" si="21"/>
        <v>0</v>
      </c>
    </row>
    <row r="566" s="1" customFormat="1" spans="5:6">
      <c r="E566" s="1">
        <f t="shared" si="20"/>
        <v>0</v>
      </c>
      <c r="F566" s="1">
        <f t="shared" si="21"/>
        <v>0</v>
      </c>
    </row>
    <row r="567" s="1" customFormat="1" spans="5:6">
      <c r="E567" s="1">
        <f t="shared" si="20"/>
        <v>0</v>
      </c>
      <c r="F567" s="1">
        <f t="shared" si="21"/>
        <v>0</v>
      </c>
    </row>
    <row r="568" s="1" customFormat="1" spans="5:6">
      <c r="E568" s="1">
        <f t="shared" si="20"/>
        <v>0</v>
      </c>
      <c r="F568" s="1">
        <f t="shared" si="21"/>
        <v>0</v>
      </c>
    </row>
    <row r="569" s="1" customFormat="1" spans="5:6">
      <c r="E569" s="1">
        <f t="shared" si="20"/>
        <v>0</v>
      </c>
      <c r="F569" s="1">
        <f t="shared" si="21"/>
        <v>0</v>
      </c>
    </row>
    <row r="570" s="1" customFormat="1" spans="5:6">
      <c r="E570" s="1">
        <f t="shared" si="20"/>
        <v>0</v>
      </c>
      <c r="F570" s="1">
        <f t="shared" si="21"/>
        <v>0</v>
      </c>
    </row>
    <row r="571" s="1" customFormat="1" spans="5:6">
      <c r="E571" s="1">
        <f t="shared" si="20"/>
        <v>0</v>
      </c>
      <c r="F571" s="1">
        <f t="shared" si="21"/>
        <v>0</v>
      </c>
    </row>
    <row r="572" s="1" customFormat="1" spans="5:6">
      <c r="E572" s="1">
        <f t="shared" si="20"/>
        <v>0</v>
      </c>
      <c r="F572" s="1">
        <f t="shared" si="21"/>
        <v>0</v>
      </c>
    </row>
    <row r="573" s="1" customFormat="1" spans="5:6">
      <c r="E573" s="1">
        <f t="shared" si="20"/>
        <v>0</v>
      </c>
      <c r="F573" s="1">
        <f t="shared" si="21"/>
        <v>0</v>
      </c>
    </row>
    <row r="574" s="1" customFormat="1" spans="5:6">
      <c r="E574" s="1">
        <f t="shared" si="20"/>
        <v>0</v>
      </c>
      <c r="F574" s="1">
        <f t="shared" si="21"/>
        <v>0</v>
      </c>
    </row>
    <row r="575" s="1" customFormat="1" spans="5:6">
      <c r="E575" s="1">
        <f t="shared" si="20"/>
        <v>0</v>
      </c>
      <c r="F575" s="1">
        <f t="shared" si="21"/>
        <v>0</v>
      </c>
    </row>
    <row r="576" s="1" customFormat="1" spans="5:6">
      <c r="E576" s="1">
        <f t="shared" si="20"/>
        <v>0</v>
      </c>
      <c r="F576" s="1">
        <f t="shared" si="21"/>
        <v>0</v>
      </c>
    </row>
    <row r="577" s="1" customFormat="1" spans="5:6">
      <c r="E577" s="1">
        <f t="shared" si="20"/>
        <v>0</v>
      </c>
      <c r="F577" s="1">
        <f t="shared" si="21"/>
        <v>0</v>
      </c>
    </row>
    <row r="578" s="1" customFormat="1" spans="5:6">
      <c r="E578" s="1">
        <f t="shared" ref="E578:E641" si="22">IF(B578="买入",C578/D578,IF(B578="卖出",-C578/D578,0))</f>
        <v>0</v>
      </c>
      <c r="F578" s="1">
        <f t="shared" ref="F578:F641" si="23">IF(B578="买入",-C578,IF(B578="卖出",C578,0))</f>
        <v>0</v>
      </c>
    </row>
    <row r="579" s="1" customFormat="1" spans="5:6">
      <c r="E579" s="1">
        <f t="shared" si="22"/>
        <v>0</v>
      </c>
      <c r="F579" s="1">
        <f t="shared" si="23"/>
        <v>0</v>
      </c>
    </row>
    <row r="580" s="1" customFormat="1" spans="5:6">
      <c r="E580" s="1">
        <f t="shared" si="22"/>
        <v>0</v>
      </c>
      <c r="F580" s="1">
        <f t="shared" si="23"/>
        <v>0</v>
      </c>
    </row>
    <row r="581" s="1" customFormat="1" spans="5:6">
      <c r="E581" s="1">
        <f t="shared" si="22"/>
        <v>0</v>
      </c>
      <c r="F581" s="1">
        <f t="shared" si="23"/>
        <v>0</v>
      </c>
    </row>
    <row r="582" s="1" customFormat="1" spans="5:6">
      <c r="E582" s="1">
        <f t="shared" si="22"/>
        <v>0</v>
      </c>
      <c r="F582" s="1">
        <f t="shared" si="23"/>
        <v>0</v>
      </c>
    </row>
    <row r="583" s="1" customFormat="1" spans="5:6">
      <c r="E583" s="1">
        <f t="shared" si="22"/>
        <v>0</v>
      </c>
      <c r="F583" s="1">
        <f t="shared" si="23"/>
        <v>0</v>
      </c>
    </row>
    <row r="584" s="1" customFormat="1" spans="5:6">
      <c r="E584" s="1">
        <f t="shared" si="22"/>
        <v>0</v>
      </c>
      <c r="F584" s="1">
        <f t="shared" si="23"/>
        <v>0</v>
      </c>
    </row>
    <row r="585" s="1" customFormat="1" spans="5:6">
      <c r="E585" s="1">
        <f t="shared" si="22"/>
        <v>0</v>
      </c>
      <c r="F585" s="1">
        <f t="shared" si="23"/>
        <v>0</v>
      </c>
    </row>
    <row r="586" s="1" customFormat="1" spans="5:6">
      <c r="E586" s="1">
        <f t="shared" si="22"/>
        <v>0</v>
      </c>
      <c r="F586" s="1">
        <f t="shared" si="23"/>
        <v>0</v>
      </c>
    </row>
    <row r="587" s="1" customFormat="1" spans="5:6">
      <c r="E587" s="1">
        <f t="shared" si="22"/>
        <v>0</v>
      </c>
      <c r="F587" s="1">
        <f t="shared" si="23"/>
        <v>0</v>
      </c>
    </row>
    <row r="588" s="1" customFormat="1" spans="5:6">
      <c r="E588" s="1">
        <f t="shared" si="22"/>
        <v>0</v>
      </c>
      <c r="F588" s="1">
        <f t="shared" si="23"/>
        <v>0</v>
      </c>
    </row>
    <row r="589" s="1" customFormat="1" spans="5:6">
      <c r="E589" s="1">
        <f t="shared" si="22"/>
        <v>0</v>
      </c>
      <c r="F589" s="1">
        <f t="shared" si="23"/>
        <v>0</v>
      </c>
    </row>
    <row r="590" s="1" customFormat="1" spans="5:6">
      <c r="E590" s="1">
        <f t="shared" si="22"/>
        <v>0</v>
      </c>
      <c r="F590" s="1">
        <f t="shared" si="23"/>
        <v>0</v>
      </c>
    </row>
    <row r="591" s="1" customFormat="1" spans="5:6">
      <c r="E591" s="1">
        <f t="shared" si="22"/>
        <v>0</v>
      </c>
      <c r="F591" s="1">
        <f t="shared" si="23"/>
        <v>0</v>
      </c>
    </row>
    <row r="592" s="1" customFormat="1" spans="5:6">
      <c r="E592" s="1">
        <f t="shared" si="22"/>
        <v>0</v>
      </c>
      <c r="F592" s="1">
        <f t="shared" si="23"/>
        <v>0</v>
      </c>
    </row>
    <row r="593" s="1" customFormat="1" spans="5:6">
      <c r="E593" s="1">
        <f t="shared" si="22"/>
        <v>0</v>
      </c>
      <c r="F593" s="1">
        <f t="shared" si="23"/>
        <v>0</v>
      </c>
    </row>
    <row r="594" s="1" customFormat="1" spans="5:6">
      <c r="E594" s="1">
        <f t="shared" si="22"/>
        <v>0</v>
      </c>
      <c r="F594" s="1">
        <f t="shared" si="23"/>
        <v>0</v>
      </c>
    </row>
    <row r="595" s="1" customFormat="1" spans="5:6">
      <c r="E595" s="1">
        <f t="shared" si="22"/>
        <v>0</v>
      </c>
      <c r="F595" s="1">
        <f t="shared" si="23"/>
        <v>0</v>
      </c>
    </row>
    <row r="596" s="1" customFormat="1" spans="5:6">
      <c r="E596" s="1">
        <f t="shared" si="22"/>
        <v>0</v>
      </c>
      <c r="F596" s="1">
        <f t="shared" si="23"/>
        <v>0</v>
      </c>
    </row>
    <row r="597" s="1" customFormat="1" spans="5:6">
      <c r="E597" s="1">
        <f t="shared" si="22"/>
        <v>0</v>
      </c>
      <c r="F597" s="1">
        <f t="shared" si="23"/>
        <v>0</v>
      </c>
    </row>
    <row r="598" s="1" customFormat="1" spans="5:6">
      <c r="E598" s="1">
        <f t="shared" si="22"/>
        <v>0</v>
      </c>
      <c r="F598" s="1">
        <f t="shared" si="23"/>
        <v>0</v>
      </c>
    </row>
    <row r="599" s="1" customFormat="1" spans="5:6">
      <c r="E599" s="1">
        <f t="shared" si="22"/>
        <v>0</v>
      </c>
      <c r="F599" s="1">
        <f t="shared" si="23"/>
        <v>0</v>
      </c>
    </row>
    <row r="600" s="1" customFormat="1" spans="5:6">
      <c r="E600" s="1">
        <f t="shared" si="22"/>
        <v>0</v>
      </c>
      <c r="F600" s="1">
        <f t="shared" si="23"/>
        <v>0</v>
      </c>
    </row>
    <row r="601" s="1" customFormat="1" spans="5:6">
      <c r="E601" s="1">
        <f t="shared" si="22"/>
        <v>0</v>
      </c>
      <c r="F601" s="1">
        <f t="shared" si="23"/>
        <v>0</v>
      </c>
    </row>
    <row r="602" s="1" customFormat="1" spans="5:6">
      <c r="E602" s="1">
        <f t="shared" si="22"/>
        <v>0</v>
      </c>
      <c r="F602" s="1">
        <f t="shared" si="23"/>
        <v>0</v>
      </c>
    </row>
    <row r="603" s="1" customFormat="1" spans="5:6">
      <c r="E603" s="1">
        <f t="shared" si="22"/>
        <v>0</v>
      </c>
      <c r="F603" s="1">
        <f t="shared" si="23"/>
        <v>0</v>
      </c>
    </row>
    <row r="604" s="1" customFormat="1" spans="5:6">
      <c r="E604" s="1">
        <f t="shared" si="22"/>
        <v>0</v>
      </c>
      <c r="F604" s="1">
        <f t="shared" si="23"/>
        <v>0</v>
      </c>
    </row>
    <row r="605" s="1" customFormat="1" spans="5:6">
      <c r="E605" s="1">
        <f t="shared" si="22"/>
        <v>0</v>
      </c>
      <c r="F605" s="1">
        <f t="shared" si="23"/>
        <v>0</v>
      </c>
    </row>
    <row r="606" s="1" customFormat="1" spans="5:6">
      <c r="E606" s="1">
        <f t="shared" si="22"/>
        <v>0</v>
      </c>
      <c r="F606" s="1">
        <f t="shared" si="23"/>
        <v>0</v>
      </c>
    </row>
    <row r="607" s="1" customFormat="1" spans="5:6">
      <c r="E607" s="1">
        <f t="shared" si="22"/>
        <v>0</v>
      </c>
      <c r="F607" s="1">
        <f t="shared" si="23"/>
        <v>0</v>
      </c>
    </row>
    <row r="608" s="1" customFormat="1" spans="5:6">
      <c r="E608" s="1">
        <f t="shared" si="22"/>
        <v>0</v>
      </c>
      <c r="F608" s="1">
        <f t="shared" si="23"/>
        <v>0</v>
      </c>
    </row>
    <row r="609" s="1" customFormat="1" spans="5:6">
      <c r="E609" s="1">
        <f t="shared" si="22"/>
        <v>0</v>
      </c>
      <c r="F609" s="1">
        <f t="shared" si="23"/>
        <v>0</v>
      </c>
    </row>
    <row r="610" s="1" customFormat="1" spans="5:6">
      <c r="E610" s="1">
        <f t="shared" si="22"/>
        <v>0</v>
      </c>
      <c r="F610" s="1">
        <f t="shared" si="23"/>
        <v>0</v>
      </c>
    </row>
    <row r="611" s="1" customFormat="1" spans="5:6">
      <c r="E611" s="1">
        <f t="shared" si="22"/>
        <v>0</v>
      </c>
      <c r="F611" s="1">
        <f t="shared" si="23"/>
        <v>0</v>
      </c>
    </row>
    <row r="612" s="1" customFormat="1" spans="5:6">
      <c r="E612" s="1">
        <f t="shared" si="22"/>
        <v>0</v>
      </c>
      <c r="F612" s="1">
        <f t="shared" si="23"/>
        <v>0</v>
      </c>
    </row>
    <row r="613" s="1" customFormat="1" spans="5:6">
      <c r="E613" s="1">
        <f t="shared" si="22"/>
        <v>0</v>
      </c>
      <c r="F613" s="1">
        <f t="shared" si="23"/>
        <v>0</v>
      </c>
    </row>
    <row r="614" s="1" customFormat="1" spans="5:6">
      <c r="E614" s="1">
        <f t="shared" si="22"/>
        <v>0</v>
      </c>
      <c r="F614" s="1">
        <f t="shared" si="23"/>
        <v>0</v>
      </c>
    </row>
    <row r="615" s="1" customFormat="1" spans="5:6">
      <c r="E615" s="1">
        <f t="shared" si="22"/>
        <v>0</v>
      </c>
      <c r="F615" s="1">
        <f t="shared" si="23"/>
        <v>0</v>
      </c>
    </row>
    <row r="616" s="1" customFormat="1" spans="5:6">
      <c r="E616" s="1">
        <f t="shared" si="22"/>
        <v>0</v>
      </c>
      <c r="F616" s="1">
        <f t="shared" si="23"/>
        <v>0</v>
      </c>
    </row>
    <row r="617" s="1" customFormat="1" spans="5:6">
      <c r="E617" s="1">
        <f t="shared" si="22"/>
        <v>0</v>
      </c>
      <c r="F617" s="1">
        <f t="shared" si="23"/>
        <v>0</v>
      </c>
    </row>
    <row r="618" s="1" customFormat="1" spans="5:6">
      <c r="E618" s="1">
        <f t="shared" si="22"/>
        <v>0</v>
      </c>
      <c r="F618" s="1">
        <f t="shared" si="23"/>
        <v>0</v>
      </c>
    </row>
    <row r="619" s="1" customFormat="1" spans="5:6">
      <c r="E619" s="1">
        <f t="shared" si="22"/>
        <v>0</v>
      </c>
      <c r="F619" s="1">
        <f t="shared" si="23"/>
        <v>0</v>
      </c>
    </row>
    <row r="620" s="1" customFormat="1" spans="5:6">
      <c r="E620" s="1">
        <f t="shared" si="22"/>
        <v>0</v>
      </c>
      <c r="F620" s="1">
        <f t="shared" si="23"/>
        <v>0</v>
      </c>
    </row>
    <row r="621" s="1" customFormat="1" spans="5:6">
      <c r="E621" s="1">
        <f t="shared" si="22"/>
        <v>0</v>
      </c>
      <c r="F621" s="1">
        <f t="shared" si="23"/>
        <v>0</v>
      </c>
    </row>
    <row r="622" s="1" customFormat="1" spans="5:6">
      <c r="E622" s="1">
        <f t="shared" si="22"/>
        <v>0</v>
      </c>
      <c r="F622" s="1">
        <f t="shared" si="23"/>
        <v>0</v>
      </c>
    </row>
    <row r="623" s="1" customFormat="1" spans="5:6">
      <c r="E623" s="1">
        <f t="shared" si="22"/>
        <v>0</v>
      </c>
      <c r="F623" s="1">
        <f t="shared" si="23"/>
        <v>0</v>
      </c>
    </row>
    <row r="624" s="1" customFormat="1" spans="5:6">
      <c r="E624" s="1">
        <f t="shared" si="22"/>
        <v>0</v>
      </c>
      <c r="F624" s="1">
        <f t="shared" si="23"/>
        <v>0</v>
      </c>
    </row>
    <row r="625" s="1" customFormat="1" spans="5:6">
      <c r="E625" s="1">
        <f t="shared" si="22"/>
        <v>0</v>
      </c>
      <c r="F625" s="1">
        <f t="shared" si="23"/>
        <v>0</v>
      </c>
    </row>
    <row r="626" s="1" customFormat="1" spans="5:6">
      <c r="E626" s="1">
        <f t="shared" si="22"/>
        <v>0</v>
      </c>
      <c r="F626" s="1">
        <f t="shared" si="23"/>
        <v>0</v>
      </c>
    </row>
    <row r="627" s="1" customFormat="1" spans="5:6">
      <c r="E627" s="1">
        <f t="shared" si="22"/>
        <v>0</v>
      </c>
      <c r="F627" s="1">
        <f t="shared" si="23"/>
        <v>0</v>
      </c>
    </row>
    <row r="628" s="1" customFormat="1" spans="5:6">
      <c r="E628" s="1">
        <f t="shared" si="22"/>
        <v>0</v>
      </c>
      <c r="F628" s="1">
        <f t="shared" si="23"/>
        <v>0</v>
      </c>
    </row>
    <row r="629" s="1" customFormat="1" spans="5:6">
      <c r="E629" s="1">
        <f t="shared" si="22"/>
        <v>0</v>
      </c>
      <c r="F629" s="1">
        <f t="shared" si="23"/>
        <v>0</v>
      </c>
    </row>
    <row r="630" s="1" customFormat="1" spans="5:6">
      <c r="E630" s="1">
        <f t="shared" si="22"/>
        <v>0</v>
      </c>
      <c r="F630" s="1">
        <f t="shared" si="23"/>
        <v>0</v>
      </c>
    </row>
    <row r="631" s="1" customFormat="1" spans="5:6">
      <c r="E631" s="1">
        <f t="shared" si="22"/>
        <v>0</v>
      </c>
      <c r="F631" s="1">
        <f t="shared" si="23"/>
        <v>0</v>
      </c>
    </row>
    <row r="632" s="1" customFormat="1" spans="5:6">
      <c r="E632" s="1">
        <f t="shared" si="22"/>
        <v>0</v>
      </c>
      <c r="F632" s="1">
        <f t="shared" si="23"/>
        <v>0</v>
      </c>
    </row>
    <row r="633" s="1" customFormat="1" spans="5:6">
      <c r="E633" s="1">
        <f t="shared" si="22"/>
        <v>0</v>
      </c>
      <c r="F633" s="1">
        <f t="shared" si="23"/>
        <v>0</v>
      </c>
    </row>
    <row r="634" s="1" customFormat="1" spans="5:6">
      <c r="E634" s="1">
        <f t="shared" si="22"/>
        <v>0</v>
      </c>
      <c r="F634" s="1">
        <f t="shared" si="23"/>
        <v>0</v>
      </c>
    </row>
    <row r="635" s="1" customFormat="1" spans="5:6">
      <c r="E635" s="1">
        <f t="shared" si="22"/>
        <v>0</v>
      </c>
      <c r="F635" s="1">
        <f t="shared" si="23"/>
        <v>0</v>
      </c>
    </row>
    <row r="636" s="1" customFormat="1" spans="5:6">
      <c r="E636" s="1">
        <f t="shared" si="22"/>
        <v>0</v>
      </c>
      <c r="F636" s="1">
        <f t="shared" si="23"/>
        <v>0</v>
      </c>
    </row>
    <row r="637" s="1" customFormat="1" spans="5:6">
      <c r="E637" s="1">
        <f t="shared" si="22"/>
        <v>0</v>
      </c>
      <c r="F637" s="1">
        <f t="shared" si="23"/>
        <v>0</v>
      </c>
    </row>
    <row r="638" s="1" customFormat="1" spans="5:6">
      <c r="E638" s="1">
        <f t="shared" si="22"/>
        <v>0</v>
      </c>
      <c r="F638" s="1">
        <f t="shared" si="23"/>
        <v>0</v>
      </c>
    </row>
    <row r="639" s="1" customFormat="1" spans="5:6">
      <c r="E639" s="1">
        <f t="shared" si="22"/>
        <v>0</v>
      </c>
      <c r="F639" s="1">
        <f t="shared" si="23"/>
        <v>0</v>
      </c>
    </row>
    <row r="640" s="1" customFormat="1" spans="5:6">
      <c r="E640" s="1">
        <f t="shared" si="22"/>
        <v>0</v>
      </c>
      <c r="F640" s="1">
        <f t="shared" si="23"/>
        <v>0</v>
      </c>
    </row>
    <row r="641" s="1" customFormat="1" spans="5:6">
      <c r="E641" s="1">
        <f t="shared" si="22"/>
        <v>0</v>
      </c>
      <c r="F641" s="1">
        <f t="shared" si="23"/>
        <v>0</v>
      </c>
    </row>
    <row r="642" s="1" customFormat="1" spans="5:6">
      <c r="E642" s="1">
        <f t="shared" ref="E642:E705" si="24">IF(B642="买入",C642/D642,IF(B642="卖出",-C642/D642,0))</f>
        <v>0</v>
      </c>
      <c r="F642" s="1">
        <f t="shared" ref="F642:F705" si="25">IF(B642="买入",-C642,IF(B642="卖出",C642,0))</f>
        <v>0</v>
      </c>
    </row>
    <row r="643" s="1" customFormat="1" spans="5:6">
      <c r="E643" s="1">
        <f t="shared" si="24"/>
        <v>0</v>
      </c>
      <c r="F643" s="1">
        <f t="shared" si="25"/>
        <v>0</v>
      </c>
    </row>
    <row r="644" s="1" customFormat="1" spans="5:6">
      <c r="E644" s="1">
        <f t="shared" si="24"/>
        <v>0</v>
      </c>
      <c r="F644" s="1">
        <f t="shared" si="25"/>
        <v>0</v>
      </c>
    </row>
    <row r="645" s="1" customFormat="1" spans="5:6">
      <c r="E645" s="1">
        <f t="shared" si="24"/>
        <v>0</v>
      </c>
      <c r="F645" s="1">
        <f t="shared" si="25"/>
        <v>0</v>
      </c>
    </row>
    <row r="646" s="1" customFormat="1" spans="5:6">
      <c r="E646" s="1">
        <f t="shared" si="24"/>
        <v>0</v>
      </c>
      <c r="F646" s="1">
        <f t="shared" si="25"/>
        <v>0</v>
      </c>
    </row>
    <row r="647" s="1" customFormat="1" spans="5:6">
      <c r="E647" s="1">
        <f t="shared" si="24"/>
        <v>0</v>
      </c>
      <c r="F647" s="1">
        <f t="shared" si="25"/>
        <v>0</v>
      </c>
    </row>
    <row r="648" s="1" customFormat="1" spans="5:6">
      <c r="E648" s="1">
        <f t="shared" si="24"/>
        <v>0</v>
      </c>
      <c r="F648" s="1">
        <f t="shared" si="25"/>
        <v>0</v>
      </c>
    </row>
    <row r="649" s="1" customFormat="1" spans="5:6">
      <c r="E649" s="1">
        <f t="shared" si="24"/>
        <v>0</v>
      </c>
      <c r="F649" s="1">
        <f t="shared" si="25"/>
        <v>0</v>
      </c>
    </row>
    <row r="650" s="1" customFormat="1" spans="5:6">
      <c r="E650" s="1">
        <f t="shared" si="24"/>
        <v>0</v>
      </c>
      <c r="F650" s="1">
        <f t="shared" si="25"/>
        <v>0</v>
      </c>
    </row>
    <row r="651" s="1" customFormat="1" spans="5:6">
      <c r="E651" s="1">
        <f t="shared" si="24"/>
        <v>0</v>
      </c>
      <c r="F651" s="1">
        <f t="shared" si="25"/>
        <v>0</v>
      </c>
    </row>
    <row r="652" s="1" customFormat="1" spans="5:6">
      <c r="E652" s="1">
        <f t="shared" si="24"/>
        <v>0</v>
      </c>
      <c r="F652" s="1">
        <f t="shared" si="25"/>
        <v>0</v>
      </c>
    </row>
    <row r="653" s="1" customFormat="1" spans="5:6">
      <c r="E653" s="1">
        <f t="shared" si="24"/>
        <v>0</v>
      </c>
      <c r="F653" s="1">
        <f t="shared" si="25"/>
        <v>0</v>
      </c>
    </row>
    <row r="654" s="1" customFormat="1" spans="5:6">
      <c r="E654" s="1">
        <f t="shared" si="24"/>
        <v>0</v>
      </c>
      <c r="F654" s="1">
        <f t="shared" si="25"/>
        <v>0</v>
      </c>
    </row>
    <row r="655" s="1" customFormat="1" spans="5:6">
      <c r="E655" s="1">
        <f t="shared" si="24"/>
        <v>0</v>
      </c>
      <c r="F655" s="1">
        <f t="shared" si="25"/>
        <v>0</v>
      </c>
    </row>
    <row r="656" s="1" customFormat="1" spans="5:6">
      <c r="E656" s="1">
        <f t="shared" si="24"/>
        <v>0</v>
      </c>
      <c r="F656" s="1">
        <f t="shared" si="25"/>
        <v>0</v>
      </c>
    </row>
    <row r="657" s="1" customFormat="1" spans="5:6">
      <c r="E657" s="1">
        <f t="shared" si="24"/>
        <v>0</v>
      </c>
      <c r="F657" s="1">
        <f t="shared" si="25"/>
        <v>0</v>
      </c>
    </row>
    <row r="658" s="1" customFormat="1" spans="5:6">
      <c r="E658" s="1">
        <f t="shared" si="24"/>
        <v>0</v>
      </c>
      <c r="F658" s="1">
        <f t="shared" si="25"/>
        <v>0</v>
      </c>
    </row>
    <row r="659" s="1" customFormat="1" spans="5:6">
      <c r="E659" s="1">
        <f t="shared" si="24"/>
        <v>0</v>
      </c>
      <c r="F659" s="1">
        <f t="shared" si="25"/>
        <v>0</v>
      </c>
    </row>
    <row r="660" s="1" customFormat="1" spans="5:6">
      <c r="E660" s="1">
        <f t="shared" si="24"/>
        <v>0</v>
      </c>
      <c r="F660" s="1">
        <f t="shared" si="25"/>
        <v>0</v>
      </c>
    </row>
    <row r="661" s="1" customFormat="1" spans="5:6">
      <c r="E661" s="1">
        <f t="shared" si="24"/>
        <v>0</v>
      </c>
      <c r="F661" s="1">
        <f t="shared" si="25"/>
        <v>0</v>
      </c>
    </row>
    <row r="662" s="1" customFormat="1" spans="5:6">
      <c r="E662" s="1">
        <f t="shared" si="24"/>
        <v>0</v>
      </c>
      <c r="F662" s="1">
        <f t="shared" si="25"/>
        <v>0</v>
      </c>
    </row>
    <row r="663" s="1" customFormat="1" spans="5:6">
      <c r="E663" s="1">
        <f t="shared" si="24"/>
        <v>0</v>
      </c>
      <c r="F663" s="1">
        <f t="shared" si="25"/>
        <v>0</v>
      </c>
    </row>
    <row r="664" s="1" customFormat="1" spans="5:6">
      <c r="E664" s="1">
        <f t="shared" si="24"/>
        <v>0</v>
      </c>
      <c r="F664" s="1">
        <f t="shared" si="25"/>
        <v>0</v>
      </c>
    </row>
    <row r="665" s="1" customFormat="1" spans="5:6">
      <c r="E665" s="1">
        <f t="shared" si="24"/>
        <v>0</v>
      </c>
      <c r="F665" s="1">
        <f t="shared" si="25"/>
        <v>0</v>
      </c>
    </row>
    <row r="666" s="1" customFormat="1" spans="5:6">
      <c r="E666" s="1">
        <f t="shared" si="24"/>
        <v>0</v>
      </c>
      <c r="F666" s="1">
        <f t="shared" si="25"/>
        <v>0</v>
      </c>
    </row>
    <row r="667" s="1" customFormat="1" spans="5:6">
      <c r="E667" s="1">
        <f t="shared" si="24"/>
        <v>0</v>
      </c>
      <c r="F667" s="1">
        <f t="shared" si="25"/>
        <v>0</v>
      </c>
    </row>
    <row r="668" s="1" customFormat="1" spans="5:6">
      <c r="E668" s="1">
        <f t="shared" si="24"/>
        <v>0</v>
      </c>
      <c r="F668" s="1">
        <f t="shared" si="25"/>
        <v>0</v>
      </c>
    </row>
    <row r="669" s="1" customFormat="1" spans="5:6">
      <c r="E669" s="1">
        <f t="shared" si="24"/>
        <v>0</v>
      </c>
      <c r="F669" s="1">
        <f t="shared" si="25"/>
        <v>0</v>
      </c>
    </row>
    <row r="670" s="1" customFormat="1" spans="5:6">
      <c r="E670" s="1">
        <f t="shared" si="24"/>
        <v>0</v>
      </c>
      <c r="F670" s="1">
        <f t="shared" si="25"/>
        <v>0</v>
      </c>
    </row>
    <row r="671" s="1" customFormat="1" spans="5:6">
      <c r="E671" s="1">
        <f t="shared" si="24"/>
        <v>0</v>
      </c>
      <c r="F671" s="1">
        <f t="shared" si="25"/>
        <v>0</v>
      </c>
    </row>
    <row r="672" s="1" customFormat="1" spans="5:6">
      <c r="E672" s="1">
        <f t="shared" si="24"/>
        <v>0</v>
      </c>
      <c r="F672" s="1">
        <f t="shared" si="25"/>
        <v>0</v>
      </c>
    </row>
    <row r="673" s="1" customFormat="1" spans="5:6">
      <c r="E673" s="1">
        <f t="shared" si="24"/>
        <v>0</v>
      </c>
      <c r="F673" s="1">
        <f t="shared" si="25"/>
        <v>0</v>
      </c>
    </row>
    <row r="674" s="1" customFormat="1" spans="5:6">
      <c r="E674" s="1">
        <f t="shared" si="24"/>
        <v>0</v>
      </c>
      <c r="F674" s="1">
        <f t="shared" si="25"/>
        <v>0</v>
      </c>
    </row>
    <row r="675" s="1" customFormat="1" spans="5:6">
      <c r="E675" s="1">
        <f t="shared" si="24"/>
        <v>0</v>
      </c>
      <c r="F675" s="1">
        <f t="shared" si="25"/>
        <v>0</v>
      </c>
    </row>
    <row r="676" s="1" customFormat="1" spans="5:6">
      <c r="E676" s="1">
        <f t="shared" si="24"/>
        <v>0</v>
      </c>
      <c r="F676" s="1">
        <f t="shared" si="25"/>
        <v>0</v>
      </c>
    </row>
    <row r="677" s="1" customFormat="1" spans="5:6">
      <c r="E677" s="1">
        <f t="shared" si="24"/>
        <v>0</v>
      </c>
      <c r="F677" s="1">
        <f t="shared" si="25"/>
        <v>0</v>
      </c>
    </row>
    <row r="678" s="1" customFormat="1" spans="5:6">
      <c r="E678" s="1">
        <f t="shared" si="24"/>
        <v>0</v>
      </c>
      <c r="F678" s="1">
        <f t="shared" si="25"/>
        <v>0</v>
      </c>
    </row>
    <row r="679" s="1" customFormat="1" spans="5:6">
      <c r="E679" s="1">
        <f t="shared" si="24"/>
        <v>0</v>
      </c>
      <c r="F679" s="1">
        <f t="shared" si="25"/>
        <v>0</v>
      </c>
    </row>
    <row r="680" s="1" customFormat="1" spans="5:6">
      <c r="E680" s="1">
        <f t="shared" si="24"/>
        <v>0</v>
      </c>
      <c r="F680" s="1">
        <f t="shared" si="25"/>
        <v>0</v>
      </c>
    </row>
    <row r="681" s="1" customFormat="1" spans="5:6">
      <c r="E681" s="1">
        <f t="shared" si="24"/>
        <v>0</v>
      </c>
      <c r="F681" s="1">
        <f t="shared" si="25"/>
        <v>0</v>
      </c>
    </row>
    <row r="682" s="1" customFormat="1" spans="5:6">
      <c r="E682" s="1">
        <f t="shared" si="24"/>
        <v>0</v>
      </c>
      <c r="F682" s="1">
        <f t="shared" si="25"/>
        <v>0</v>
      </c>
    </row>
    <row r="683" s="1" customFormat="1" spans="5:6">
      <c r="E683" s="1">
        <f t="shared" si="24"/>
        <v>0</v>
      </c>
      <c r="F683" s="1">
        <f t="shared" si="25"/>
        <v>0</v>
      </c>
    </row>
    <row r="684" s="1" customFormat="1" spans="5:6">
      <c r="E684" s="1">
        <f t="shared" si="24"/>
        <v>0</v>
      </c>
      <c r="F684" s="1">
        <f t="shared" si="25"/>
        <v>0</v>
      </c>
    </row>
    <row r="685" s="1" customFormat="1" spans="5:6">
      <c r="E685" s="1">
        <f t="shared" si="24"/>
        <v>0</v>
      </c>
      <c r="F685" s="1">
        <f t="shared" si="25"/>
        <v>0</v>
      </c>
    </row>
    <row r="686" s="1" customFormat="1" spans="5:6">
      <c r="E686" s="1">
        <f t="shared" si="24"/>
        <v>0</v>
      </c>
      <c r="F686" s="1">
        <f t="shared" si="25"/>
        <v>0</v>
      </c>
    </row>
    <row r="687" s="1" customFormat="1" spans="5:6">
      <c r="E687" s="1">
        <f t="shared" si="24"/>
        <v>0</v>
      </c>
      <c r="F687" s="1">
        <f t="shared" si="25"/>
        <v>0</v>
      </c>
    </row>
    <row r="688" s="1" customFormat="1" spans="5:6">
      <c r="E688" s="1">
        <f t="shared" si="24"/>
        <v>0</v>
      </c>
      <c r="F688" s="1">
        <f t="shared" si="25"/>
        <v>0</v>
      </c>
    </row>
    <row r="689" s="1" customFormat="1" spans="5:6">
      <c r="E689" s="1">
        <f t="shared" si="24"/>
        <v>0</v>
      </c>
      <c r="F689" s="1">
        <f t="shared" si="25"/>
        <v>0</v>
      </c>
    </row>
    <row r="690" s="1" customFormat="1" spans="5:6">
      <c r="E690" s="1">
        <f t="shared" si="24"/>
        <v>0</v>
      </c>
      <c r="F690" s="1">
        <f t="shared" si="25"/>
        <v>0</v>
      </c>
    </row>
    <row r="691" s="1" customFormat="1" spans="5:6">
      <c r="E691" s="1">
        <f t="shared" si="24"/>
        <v>0</v>
      </c>
      <c r="F691" s="1">
        <f t="shared" si="25"/>
        <v>0</v>
      </c>
    </row>
    <row r="692" s="1" customFormat="1" spans="5:6">
      <c r="E692" s="1">
        <f t="shared" si="24"/>
        <v>0</v>
      </c>
      <c r="F692" s="1">
        <f t="shared" si="25"/>
        <v>0</v>
      </c>
    </row>
    <row r="693" s="1" customFormat="1" spans="5:6">
      <c r="E693" s="1">
        <f t="shared" si="24"/>
        <v>0</v>
      </c>
      <c r="F693" s="1">
        <f t="shared" si="25"/>
        <v>0</v>
      </c>
    </row>
    <row r="694" s="1" customFormat="1" spans="5:6">
      <c r="E694" s="1">
        <f t="shared" si="24"/>
        <v>0</v>
      </c>
      <c r="F694" s="1">
        <f t="shared" si="25"/>
        <v>0</v>
      </c>
    </row>
    <row r="695" s="1" customFormat="1" spans="5:6">
      <c r="E695" s="1">
        <f t="shared" si="24"/>
        <v>0</v>
      </c>
      <c r="F695" s="1">
        <f t="shared" si="25"/>
        <v>0</v>
      </c>
    </row>
    <row r="696" s="1" customFormat="1" spans="5:6">
      <c r="E696" s="1">
        <f t="shared" si="24"/>
        <v>0</v>
      </c>
      <c r="F696" s="1">
        <f t="shared" si="25"/>
        <v>0</v>
      </c>
    </row>
    <row r="697" s="1" customFormat="1" spans="5:6">
      <c r="E697" s="1">
        <f t="shared" si="24"/>
        <v>0</v>
      </c>
      <c r="F697" s="1">
        <f t="shared" si="25"/>
        <v>0</v>
      </c>
    </row>
    <row r="698" s="1" customFormat="1" spans="5:6">
      <c r="E698" s="1">
        <f t="shared" si="24"/>
        <v>0</v>
      </c>
      <c r="F698" s="1">
        <f t="shared" si="25"/>
        <v>0</v>
      </c>
    </row>
    <row r="699" s="1" customFormat="1" spans="5:6">
      <c r="E699" s="1">
        <f t="shared" si="24"/>
        <v>0</v>
      </c>
      <c r="F699" s="1">
        <f t="shared" si="25"/>
        <v>0</v>
      </c>
    </row>
    <row r="700" s="1" customFormat="1" spans="5:6">
      <c r="E700" s="1">
        <f t="shared" si="24"/>
        <v>0</v>
      </c>
      <c r="F700" s="1">
        <f t="shared" si="25"/>
        <v>0</v>
      </c>
    </row>
    <row r="701" s="1" customFormat="1" spans="5:6">
      <c r="E701" s="1">
        <f t="shared" si="24"/>
        <v>0</v>
      </c>
      <c r="F701" s="1">
        <f t="shared" si="25"/>
        <v>0</v>
      </c>
    </row>
    <row r="702" s="1" customFormat="1" spans="5:6">
      <c r="E702" s="1">
        <f t="shared" si="24"/>
        <v>0</v>
      </c>
      <c r="F702" s="1">
        <f t="shared" si="25"/>
        <v>0</v>
      </c>
    </row>
    <row r="703" s="1" customFormat="1" spans="5:6">
      <c r="E703" s="1">
        <f t="shared" si="24"/>
        <v>0</v>
      </c>
      <c r="F703" s="1">
        <f t="shared" si="25"/>
        <v>0</v>
      </c>
    </row>
    <row r="704" s="1" customFormat="1" spans="5:6">
      <c r="E704" s="1">
        <f t="shared" si="24"/>
        <v>0</v>
      </c>
      <c r="F704" s="1">
        <f t="shared" si="25"/>
        <v>0</v>
      </c>
    </row>
    <row r="705" s="1" customFormat="1" spans="5:6">
      <c r="E705" s="1">
        <f t="shared" si="24"/>
        <v>0</v>
      </c>
      <c r="F705" s="1">
        <f t="shared" si="25"/>
        <v>0</v>
      </c>
    </row>
    <row r="706" s="1" customFormat="1" spans="5:6">
      <c r="E706" s="1">
        <f t="shared" ref="E706:E769" si="26">IF(B706="买入",C706/D706,IF(B706="卖出",-C706/D706,0))</f>
        <v>0</v>
      </c>
      <c r="F706" s="1">
        <f t="shared" ref="F706:F769" si="27">IF(B706="买入",-C706,IF(B706="卖出",C706,0))</f>
        <v>0</v>
      </c>
    </row>
    <row r="707" s="1" customFormat="1" spans="5:6">
      <c r="E707" s="1">
        <f t="shared" si="26"/>
        <v>0</v>
      </c>
      <c r="F707" s="1">
        <f t="shared" si="27"/>
        <v>0</v>
      </c>
    </row>
    <row r="708" s="1" customFormat="1" spans="5:6">
      <c r="E708" s="1">
        <f t="shared" si="26"/>
        <v>0</v>
      </c>
      <c r="F708" s="1">
        <f t="shared" si="27"/>
        <v>0</v>
      </c>
    </row>
    <row r="709" s="1" customFormat="1" spans="5:6">
      <c r="E709" s="1">
        <f t="shared" si="26"/>
        <v>0</v>
      </c>
      <c r="F709" s="1">
        <f t="shared" si="27"/>
        <v>0</v>
      </c>
    </row>
    <row r="710" s="1" customFormat="1" spans="5:6">
      <c r="E710" s="1">
        <f t="shared" si="26"/>
        <v>0</v>
      </c>
      <c r="F710" s="1">
        <f t="shared" si="27"/>
        <v>0</v>
      </c>
    </row>
    <row r="711" s="1" customFormat="1" spans="5:6">
      <c r="E711" s="1">
        <f t="shared" si="26"/>
        <v>0</v>
      </c>
      <c r="F711" s="1">
        <f t="shared" si="27"/>
        <v>0</v>
      </c>
    </row>
    <row r="712" s="1" customFormat="1" spans="5:6">
      <c r="E712" s="1">
        <f t="shared" si="26"/>
        <v>0</v>
      </c>
      <c r="F712" s="1">
        <f t="shared" si="27"/>
        <v>0</v>
      </c>
    </row>
    <row r="713" s="1" customFormat="1" spans="5:6">
      <c r="E713" s="1">
        <f t="shared" si="26"/>
        <v>0</v>
      </c>
      <c r="F713" s="1">
        <f t="shared" si="27"/>
        <v>0</v>
      </c>
    </row>
    <row r="714" s="1" customFormat="1" spans="5:6">
      <c r="E714" s="1">
        <f t="shared" si="26"/>
        <v>0</v>
      </c>
      <c r="F714" s="1">
        <f t="shared" si="27"/>
        <v>0</v>
      </c>
    </row>
    <row r="715" s="1" customFormat="1" spans="5:6">
      <c r="E715" s="1">
        <f t="shared" si="26"/>
        <v>0</v>
      </c>
      <c r="F715" s="1">
        <f t="shared" si="27"/>
        <v>0</v>
      </c>
    </row>
    <row r="716" s="1" customFormat="1" spans="5:6">
      <c r="E716" s="1">
        <f t="shared" si="26"/>
        <v>0</v>
      </c>
      <c r="F716" s="1">
        <f t="shared" si="27"/>
        <v>0</v>
      </c>
    </row>
    <row r="717" s="1" customFormat="1" spans="5:6">
      <c r="E717" s="1">
        <f t="shared" si="26"/>
        <v>0</v>
      </c>
      <c r="F717" s="1">
        <f t="shared" si="27"/>
        <v>0</v>
      </c>
    </row>
    <row r="718" s="1" customFormat="1" spans="5:6">
      <c r="E718" s="1">
        <f t="shared" si="26"/>
        <v>0</v>
      </c>
      <c r="F718" s="1">
        <f t="shared" si="27"/>
        <v>0</v>
      </c>
    </row>
    <row r="719" s="1" customFormat="1" spans="5:6">
      <c r="E719" s="1">
        <f t="shared" si="26"/>
        <v>0</v>
      </c>
      <c r="F719" s="1">
        <f t="shared" si="27"/>
        <v>0</v>
      </c>
    </row>
    <row r="720" s="1" customFormat="1" spans="5:6">
      <c r="E720" s="1">
        <f t="shared" si="26"/>
        <v>0</v>
      </c>
      <c r="F720" s="1">
        <f t="shared" si="27"/>
        <v>0</v>
      </c>
    </row>
    <row r="721" s="1" customFormat="1" spans="5:6">
      <c r="E721" s="1">
        <f t="shared" si="26"/>
        <v>0</v>
      </c>
      <c r="F721" s="1">
        <f t="shared" si="27"/>
        <v>0</v>
      </c>
    </row>
    <row r="722" s="1" customFormat="1" spans="5:6">
      <c r="E722" s="1">
        <f t="shared" si="26"/>
        <v>0</v>
      </c>
      <c r="F722" s="1">
        <f t="shared" si="27"/>
        <v>0</v>
      </c>
    </row>
    <row r="723" s="1" customFormat="1" spans="5:6">
      <c r="E723" s="1">
        <f t="shared" si="26"/>
        <v>0</v>
      </c>
      <c r="F723" s="1">
        <f t="shared" si="27"/>
        <v>0</v>
      </c>
    </row>
    <row r="724" s="1" customFormat="1" spans="5:6">
      <c r="E724" s="1">
        <f t="shared" si="26"/>
        <v>0</v>
      </c>
      <c r="F724" s="1">
        <f t="shared" si="27"/>
        <v>0</v>
      </c>
    </row>
    <row r="725" s="1" customFormat="1" spans="5:6">
      <c r="E725" s="1">
        <f t="shared" si="26"/>
        <v>0</v>
      </c>
      <c r="F725" s="1">
        <f t="shared" si="27"/>
        <v>0</v>
      </c>
    </row>
    <row r="726" s="1" customFormat="1" spans="5:6">
      <c r="E726" s="1">
        <f t="shared" si="26"/>
        <v>0</v>
      </c>
      <c r="F726" s="1">
        <f t="shared" si="27"/>
        <v>0</v>
      </c>
    </row>
    <row r="727" s="1" customFormat="1" spans="5:6">
      <c r="E727" s="1">
        <f t="shared" si="26"/>
        <v>0</v>
      </c>
      <c r="F727" s="1">
        <f t="shared" si="27"/>
        <v>0</v>
      </c>
    </row>
    <row r="728" s="1" customFormat="1" spans="5:6">
      <c r="E728" s="1">
        <f t="shared" si="26"/>
        <v>0</v>
      </c>
      <c r="F728" s="1">
        <f t="shared" si="27"/>
        <v>0</v>
      </c>
    </row>
    <row r="729" s="1" customFormat="1" spans="5:6">
      <c r="E729" s="1">
        <f t="shared" si="26"/>
        <v>0</v>
      </c>
      <c r="F729" s="1">
        <f t="shared" si="27"/>
        <v>0</v>
      </c>
    </row>
    <row r="730" s="1" customFormat="1" spans="5:6">
      <c r="E730" s="1">
        <f t="shared" si="26"/>
        <v>0</v>
      </c>
      <c r="F730" s="1">
        <f t="shared" si="27"/>
        <v>0</v>
      </c>
    </row>
    <row r="731" s="1" customFormat="1" spans="5:6">
      <c r="E731" s="1">
        <f t="shared" si="26"/>
        <v>0</v>
      </c>
      <c r="F731" s="1">
        <f t="shared" si="27"/>
        <v>0</v>
      </c>
    </row>
    <row r="732" s="1" customFormat="1" spans="5:6">
      <c r="E732" s="1">
        <f t="shared" si="26"/>
        <v>0</v>
      </c>
      <c r="F732" s="1">
        <f t="shared" si="27"/>
        <v>0</v>
      </c>
    </row>
    <row r="733" s="1" customFormat="1" spans="5:6">
      <c r="E733" s="1">
        <f t="shared" si="26"/>
        <v>0</v>
      </c>
      <c r="F733" s="1">
        <f t="shared" si="27"/>
        <v>0</v>
      </c>
    </row>
    <row r="734" s="1" customFormat="1" spans="5:6">
      <c r="E734" s="1">
        <f t="shared" si="26"/>
        <v>0</v>
      </c>
      <c r="F734" s="1">
        <f t="shared" si="27"/>
        <v>0</v>
      </c>
    </row>
    <row r="735" s="1" customFormat="1" spans="5:6">
      <c r="E735" s="1">
        <f t="shared" si="26"/>
        <v>0</v>
      </c>
      <c r="F735" s="1">
        <f t="shared" si="27"/>
        <v>0</v>
      </c>
    </row>
    <row r="736" s="1" customFormat="1" spans="5:6">
      <c r="E736" s="1">
        <f t="shared" si="26"/>
        <v>0</v>
      </c>
      <c r="F736" s="1">
        <f t="shared" si="27"/>
        <v>0</v>
      </c>
    </row>
    <row r="737" s="1" customFormat="1" spans="5:6">
      <c r="E737" s="1">
        <f t="shared" si="26"/>
        <v>0</v>
      </c>
      <c r="F737" s="1">
        <f t="shared" si="27"/>
        <v>0</v>
      </c>
    </row>
    <row r="738" s="1" customFormat="1" spans="5:6">
      <c r="E738" s="1">
        <f t="shared" si="26"/>
        <v>0</v>
      </c>
      <c r="F738" s="1">
        <f t="shared" si="27"/>
        <v>0</v>
      </c>
    </row>
    <row r="739" s="1" customFormat="1" spans="5:6">
      <c r="E739" s="1">
        <f t="shared" si="26"/>
        <v>0</v>
      </c>
      <c r="F739" s="1">
        <f t="shared" si="27"/>
        <v>0</v>
      </c>
    </row>
    <row r="740" s="1" customFormat="1" spans="5:6">
      <c r="E740" s="1">
        <f t="shared" si="26"/>
        <v>0</v>
      </c>
      <c r="F740" s="1">
        <f t="shared" si="27"/>
        <v>0</v>
      </c>
    </row>
    <row r="741" s="1" customFormat="1" spans="5:6">
      <c r="E741" s="1">
        <f t="shared" si="26"/>
        <v>0</v>
      </c>
      <c r="F741" s="1">
        <f t="shared" si="27"/>
        <v>0</v>
      </c>
    </row>
    <row r="742" s="1" customFormat="1" spans="5:6">
      <c r="E742" s="1">
        <f t="shared" si="26"/>
        <v>0</v>
      </c>
      <c r="F742" s="1">
        <f t="shared" si="27"/>
        <v>0</v>
      </c>
    </row>
    <row r="743" s="1" customFormat="1" spans="5:6">
      <c r="E743" s="1">
        <f t="shared" si="26"/>
        <v>0</v>
      </c>
      <c r="F743" s="1">
        <f t="shared" si="27"/>
        <v>0</v>
      </c>
    </row>
    <row r="744" s="1" customFormat="1" spans="5:6">
      <c r="E744" s="1">
        <f t="shared" si="26"/>
        <v>0</v>
      </c>
      <c r="F744" s="1">
        <f t="shared" si="27"/>
        <v>0</v>
      </c>
    </row>
    <row r="745" s="1" customFormat="1" spans="5:6">
      <c r="E745" s="1">
        <f t="shared" si="26"/>
        <v>0</v>
      </c>
      <c r="F745" s="1">
        <f t="shared" si="27"/>
        <v>0</v>
      </c>
    </row>
    <row r="746" s="1" customFormat="1" spans="5:6">
      <c r="E746" s="1">
        <f t="shared" si="26"/>
        <v>0</v>
      </c>
      <c r="F746" s="1">
        <f t="shared" si="27"/>
        <v>0</v>
      </c>
    </row>
    <row r="747" s="1" customFormat="1" spans="5:6">
      <c r="E747" s="1">
        <f t="shared" si="26"/>
        <v>0</v>
      </c>
      <c r="F747" s="1">
        <f t="shared" si="27"/>
        <v>0</v>
      </c>
    </row>
    <row r="748" s="1" customFormat="1" spans="5:6">
      <c r="E748" s="1">
        <f t="shared" si="26"/>
        <v>0</v>
      </c>
      <c r="F748" s="1">
        <f t="shared" si="27"/>
        <v>0</v>
      </c>
    </row>
    <row r="749" s="1" customFormat="1" spans="5:6">
      <c r="E749" s="1">
        <f t="shared" si="26"/>
        <v>0</v>
      </c>
      <c r="F749" s="1">
        <f t="shared" si="27"/>
        <v>0</v>
      </c>
    </row>
    <row r="750" s="1" customFormat="1" spans="5:6">
      <c r="E750" s="1">
        <f t="shared" si="26"/>
        <v>0</v>
      </c>
      <c r="F750" s="1">
        <f t="shared" si="27"/>
        <v>0</v>
      </c>
    </row>
    <row r="751" s="1" customFormat="1" spans="5:6">
      <c r="E751" s="1">
        <f t="shared" si="26"/>
        <v>0</v>
      </c>
      <c r="F751" s="1">
        <f t="shared" si="27"/>
        <v>0</v>
      </c>
    </row>
    <row r="752" s="1" customFormat="1" spans="5:6">
      <c r="E752" s="1">
        <f t="shared" si="26"/>
        <v>0</v>
      </c>
      <c r="F752" s="1">
        <f t="shared" si="27"/>
        <v>0</v>
      </c>
    </row>
    <row r="753" s="1" customFormat="1" spans="5:6">
      <c r="E753" s="1">
        <f t="shared" si="26"/>
        <v>0</v>
      </c>
      <c r="F753" s="1">
        <f t="shared" si="27"/>
        <v>0</v>
      </c>
    </row>
    <row r="754" s="1" customFormat="1" spans="5:6">
      <c r="E754" s="1">
        <f t="shared" si="26"/>
        <v>0</v>
      </c>
      <c r="F754" s="1">
        <f t="shared" si="27"/>
        <v>0</v>
      </c>
    </row>
    <row r="755" s="1" customFormat="1" spans="5:6">
      <c r="E755" s="1">
        <f t="shared" si="26"/>
        <v>0</v>
      </c>
      <c r="F755" s="1">
        <f t="shared" si="27"/>
        <v>0</v>
      </c>
    </row>
    <row r="756" s="1" customFormat="1" spans="5:6">
      <c r="E756" s="1">
        <f t="shared" si="26"/>
        <v>0</v>
      </c>
      <c r="F756" s="1">
        <f t="shared" si="27"/>
        <v>0</v>
      </c>
    </row>
    <row r="757" s="1" customFormat="1" spans="5:6">
      <c r="E757" s="1">
        <f t="shared" si="26"/>
        <v>0</v>
      </c>
      <c r="F757" s="1">
        <f t="shared" si="27"/>
        <v>0</v>
      </c>
    </row>
    <row r="758" s="1" customFormat="1" spans="5:6">
      <c r="E758" s="1">
        <f t="shared" si="26"/>
        <v>0</v>
      </c>
      <c r="F758" s="1">
        <f t="shared" si="27"/>
        <v>0</v>
      </c>
    </row>
    <row r="759" s="1" customFormat="1" spans="5:6">
      <c r="E759" s="1">
        <f t="shared" si="26"/>
        <v>0</v>
      </c>
      <c r="F759" s="1">
        <f t="shared" si="27"/>
        <v>0</v>
      </c>
    </row>
    <row r="760" s="1" customFormat="1" spans="5:6">
      <c r="E760" s="1">
        <f t="shared" si="26"/>
        <v>0</v>
      </c>
      <c r="F760" s="1">
        <f t="shared" si="27"/>
        <v>0</v>
      </c>
    </row>
    <row r="761" s="1" customFormat="1" spans="5:6">
      <c r="E761" s="1">
        <f t="shared" si="26"/>
        <v>0</v>
      </c>
      <c r="F761" s="1">
        <f t="shared" si="27"/>
        <v>0</v>
      </c>
    </row>
    <row r="762" s="1" customFormat="1" spans="5:6">
      <c r="E762" s="1">
        <f t="shared" si="26"/>
        <v>0</v>
      </c>
      <c r="F762" s="1">
        <f t="shared" si="27"/>
        <v>0</v>
      </c>
    </row>
    <row r="763" s="1" customFormat="1" spans="5:6">
      <c r="E763" s="1">
        <f t="shared" si="26"/>
        <v>0</v>
      </c>
      <c r="F763" s="1">
        <f t="shared" si="27"/>
        <v>0</v>
      </c>
    </row>
    <row r="764" s="1" customFormat="1" spans="5:6">
      <c r="E764" s="1">
        <f t="shared" si="26"/>
        <v>0</v>
      </c>
      <c r="F764" s="1">
        <f t="shared" si="27"/>
        <v>0</v>
      </c>
    </row>
    <row r="765" s="1" customFormat="1" spans="5:6">
      <c r="E765" s="1">
        <f t="shared" si="26"/>
        <v>0</v>
      </c>
      <c r="F765" s="1">
        <f t="shared" si="27"/>
        <v>0</v>
      </c>
    </row>
    <row r="766" s="1" customFormat="1" spans="5:6">
      <c r="E766" s="1">
        <f t="shared" si="26"/>
        <v>0</v>
      </c>
      <c r="F766" s="1">
        <f t="shared" si="27"/>
        <v>0</v>
      </c>
    </row>
    <row r="767" s="1" customFormat="1" spans="5:6">
      <c r="E767" s="1">
        <f t="shared" si="26"/>
        <v>0</v>
      </c>
      <c r="F767" s="1">
        <f t="shared" si="27"/>
        <v>0</v>
      </c>
    </row>
    <row r="768" s="1" customFormat="1" spans="5:6">
      <c r="E768" s="1">
        <f t="shared" si="26"/>
        <v>0</v>
      </c>
      <c r="F768" s="1">
        <f t="shared" si="27"/>
        <v>0</v>
      </c>
    </row>
    <row r="769" s="1" customFormat="1" spans="5:6">
      <c r="E769" s="1">
        <f t="shared" si="26"/>
        <v>0</v>
      </c>
      <c r="F769" s="1">
        <f t="shared" si="27"/>
        <v>0</v>
      </c>
    </row>
    <row r="770" s="1" customFormat="1" spans="5:6">
      <c r="E770" s="1">
        <f t="shared" ref="E770:E833" si="28">IF(B770="买入",C770/D770,IF(B770="卖出",-C770/D770,0))</f>
        <v>0</v>
      </c>
      <c r="F770" s="1">
        <f t="shared" ref="F770:F833" si="29">IF(B770="买入",-C770,IF(B770="卖出",C770,0))</f>
        <v>0</v>
      </c>
    </row>
    <row r="771" s="1" customFormat="1" spans="5:6">
      <c r="E771" s="1">
        <f t="shared" si="28"/>
        <v>0</v>
      </c>
      <c r="F771" s="1">
        <f t="shared" si="29"/>
        <v>0</v>
      </c>
    </row>
    <row r="772" s="1" customFormat="1" spans="5:6">
      <c r="E772" s="1">
        <f t="shared" si="28"/>
        <v>0</v>
      </c>
      <c r="F772" s="1">
        <f t="shared" si="29"/>
        <v>0</v>
      </c>
    </row>
    <row r="773" s="1" customFormat="1" spans="5:6">
      <c r="E773" s="1">
        <f t="shared" si="28"/>
        <v>0</v>
      </c>
      <c r="F773" s="1">
        <f t="shared" si="29"/>
        <v>0</v>
      </c>
    </row>
    <row r="774" s="1" customFormat="1" spans="5:6">
      <c r="E774" s="1">
        <f t="shared" si="28"/>
        <v>0</v>
      </c>
      <c r="F774" s="1">
        <f t="shared" si="29"/>
        <v>0</v>
      </c>
    </row>
    <row r="775" s="1" customFormat="1" spans="5:6">
      <c r="E775" s="1">
        <f t="shared" si="28"/>
        <v>0</v>
      </c>
      <c r="F775" s="1">
        <f t="shared" si="29"/>
        <v>0</v>
      </c>
    </row>
    <row r="776" s="1" customFormat="1" spans="5:6">
      <c r="E776" s="1">
        <f t="shared" si="28"/>
        <v>0</v>
      </c>
      <c r="F776" s="1">
        <f t="shared" si="29"/>
        <v>0</v>
      </c>
    </row>
    <row r="777" s="1" customFormat="1" spans="5:6">
      <c r="E777" s="1">
        <f t="shared" si="28"/>
        <v>0</v>
      </c>
      <c r="F777" s="1">
        <f t="shared" si="29"/>
        <v>0</v>
      </c>
    </row>
    <row r="778" s="1" customFormat="1" spans="5:6">
      <c r="E778" s="1">
        <f t="shared" si="28"/>
        <v>0</v>
      </c>
      <c r="F778" s="1">
        <f t="shared" si="29"/>
        <v>0</v>
      </c>
    </row>
    <row r="779" s="1" customFormat="1" spans="5:6">
      <c r="E779" s="1">
        <f t="shared" si="28"/>
        <v>0</v>
      </c>
      <c r="F779" s="1">
        <f t="shared" si="29"/>
        <v>0</v>
      </c>
    </row>
    <row r="780" s="1" customFormat="1" spans="5:6">
      <c r="E780" s="1">
        <f t="shared" si="28"/>
        <v>0</v>
      </c>
      <c r="F780" s="1">
        <f t="shared" si="29"/>
        <v>0</v>
      </c>
    </row>
    <row r="781" s="1" customFormat="1" spans="5:6">
      <c r="E781" s="1">
        <f t="shared" si="28"/>
        <v>0</v>
      </c>
      <c r="F781" s="1">
        <f t="shared" si="29"/>
        <v>0</v>
      </c>
    </row>
    <row r="782" s="1" customFormat="1" spans="5:6">
      <c r="E782" s="1">
        <f t="shared" si="28"/>
        <v>0</v>
      </c>
      <c r="F782" s="1">
        <f t="shared" si="29"/>
        <v>0</v>
      </c>
    </row>
    <row r="783" s="1" customFormat="1" spans="5:6">
      <c r="E783" s="1">
        <f t="shared" si="28"/>
        <v>0</v>
      </c>
      <c r="F783" s="1">
        <f t="shared" si="29"/>
        <v>0</v>
      </c>
    </row>
    <row r="784" s="1" customFormat="1" spans="5:6">
      <c r="E784" s="1">
        <f t="shared" si="28"/>
        <v>0</v>
      </c>
      <c r="F784" s="1">
        <f t="shared" si="29"/>
        <v>0</v>
      </c>
    </row>
    <row r="785" s="1" customFormat="1" spans="5:6">
      <c r="E785" s="1">
        <f t="shared" si="28"/>
        <v>0</v>
      </c>
      <c r="F785" s="1">
        <f t="shared" si="29"/>
        <v>0</v>
      </c>
    </row>
    <row r="786" s="1" customFormat="1" spans="5:6">
      <c r="E786" s="1">
        <f t="shared" si="28"/>
        <v>0</v>
      </c>
      <c r="F786" s="1">
        <f t="shared" si="29"/>
        <v>0</v>
      </c>
    </row>
    <row r="787" s="1" customFormat="1" spans="5:6">
      <c r="E787" s="1">
        <f t="shared" si="28"/>
        <v>0</v>
      </c>
      <c r="F787" s="1">
        <f t="shared" si="29"/>
        <v>0</v>
      </c>
    </row>
    <row r="788" s="1" customFormat="1" spans="5:6">
      <c r="E788" s="1">
        <f t="shared" si="28"/>
        <v>0</v>
      </c>
      <c r="F788" s="1">
        <f t="shared" si="29"/>
        <v>0</v>
      </c>
    </row>
    <row r="789" s="1" customFormat="1" spans="5:6">
      <c r="E789" s="1">
        <f t="shared" si="28"/>
        <v>0</v>
      </c>
      <c r="F789" s="1">
        <f t="shared" si="29"/>
        <v>0</v>
      </c>
    </row>
    <row r="790" s="1" customFormat="1" spans="5:6">
      <c r="E790" s="1">
        <f t="shared" si="28"/>
        <v>0</v>
      </c>
      <c r="F790" s="1">
        <f t="shared" si="29"/>
        <v>0</v>
      </c>
    </row>
    <row r="791" s="1" customFormat="1" spans="5:6">
      <c r="E791" s="1">
        <f t="shared" si="28"/>
        <v>0</v>
      </c>
      <c r="F791" s="1">
        <f t="shared" si="29"/>
        <v>0</v>
      </c>
    </row>
    <row r="792" s="1" customFormat="1" spans="5:6">
      <c r="E792" s="1">
        <f t="shared" si="28"/>
        <v>0</v>
      </c>
      <c r="F792" s="1">
        <f t="shared" si="29"/>
        <v>0</v>
      </c>
    </row>
    <row r="793" s="1" customFormat="1" spans="5:6">
      <c r="E793" s="1">
        <f t="shared" si="28"/>
        <v>0</v>
      </c>
      <c r="F793" s="1">
        <f t="shared" si="29"/>
        <v>0</v>
      </c>
    </row>
    <row r="794" s="1" customFormat="1" spans="5:6">
      <c r="E794" s="1">
        <f t="shared" si="28"/>
        <v>0</v>
      </c>
      <c r="F794" s="1">
        <f t="shared" si="29"/>
        <v>0</v>
      </c>
    </row>
    <row r="795" s="1" customFormat="1" spans="5:6">
      <c r="E795" s="1">
        <f t="shared" si="28"/>
        <v>0</v>
      </c>
      <c r="F795" s="1">
        <f t="shared" si="29"/>
        <v>0</v>
      </c>
    </row>
    <row r="796" s="1" customFormat="1" spans="5:6">
      <c r="E796" s="1">
        <f t="shared" si="28"/>
        <v>0</v>
      </c>
      <c r="F796" s="1">
        <f t="shared" si="29"/>
        <v>0</v>
      </c>
    </row>
    <row r="797" s="1" customFormat="1" spans="5:6">
      <c r="E797" s="1">
        <f t="shared" si="28"/>
        <v>0</v>
      </c>
      <c r="F797" s="1">
        <f t="shared" si="29"/>
        <v>0</v>
      </c>
    </row>
    <row r="798" s="1" customFormat="1" spans="5:6">
      <c r="E798" s="1">
        <f t="shared" si="28"/>
        <v>0</v>
      </c>
      <c r="F798" s="1">
        <f t="shared" si="29"/>
        <v>0</v>
      </c>
    </row>
    <row r="799" s="1" customFormat="1" spans="5:6">
      <c r="E799" s="1">
        <f t="shared" si="28"/>
        <v>0</v>
      </c>
      <c r="F799" s="1">
        <f t="shared" si="29"/>
        <v>0</v>
      </c>
    </row>
    <row r="800" s="1" customFormat="1" spans="5:6">
      <c r="E800" s="1">
        <f t="shared" si="28"/>
        <v>0</v>
      </c>
      <c r="F800" s="1">
        <f t="shared" si="29"/>
        <v>0</v>
      </c>
    </row>
    <row r="801" s="1" customFormat="1" spans="5:6">
      <c r="E801" s="1">
        <f t="shared" si="28"/>
        <v>0</v>
      </c>
      <c r="F801" s="1">
        <f t="shared" si="29"/>
        <v>0</v>
      </c>
    </row>
    <row r="802" s="1" customFormat="1" spans="5:6">
      <c r="E802" s="1">
        <f t="shared" si="28"/>
        <v>0</v>
      </c>
      <c r="F802" s="1">
        <f t="shared" si="29"/>
        <v>0</v>
      </c>
    </row>
    <row r="803" s="1" customFormat="1" spans="5:6">
      <c r="E803" s="1">
        <f t="shared" si="28"/>
        <v>0</v>
      </c>
      <c r="F803" s="1">
        <f t="shared" si="29"/>
        <v>0</v>
      </c>
    </row>
    <row r="804" s="1" customFormat="1" spans="5:6">
      <c r="E804" s="1">
        <f t="shared" si="28"/>
        <v>0</v>
      </c>
      <c r="F804" s="1">
        <f t="shared" si="29"/>
        <v>0</v>
      </c>
    </row>
    <row r="805" s="1" customFormat="1" spans="5:6">
      <c r="E805" s="1">
        <f t="shared" si="28"/>
        <v>0</v>
      </c>
      <c r="F805" s="1">
        <f t="shared" si="29"/>
        <v>0</v>
      </c>
    </row>
    <row r="806" s="1" customFormat="1" spans="5:6">
      <c r="E806" s="1">
        <f t="shared" si="28"/>
        <v>0</v>
      </c>
      <c r="F806" s="1">
        <f t="shared" si="29"/>
        <v>0</v>
      </c>
    </row>
    <row r="807" s="1" customFormat="1" spans="5:6">
      <c r="E807" s="1">
        <f t="shared" si="28"/>
        <v>0</v>
      </c>
      <c r="F807" s="1">
        <f t="shared" si="29"/>
        <v>0</v>
      </c>
    </row>
    <row r="808" s="1" customFormat="1" spans="5:6">
      <c r="E808" s="1">
        <f t="shared" si="28"/>
        <v>0</v>
      </c>
      <c r="F808" s="1">
        <f t="shared" si="29"/>
        <v>0</v>
      </c>
    </row>
    <row r="809" s="1" customFormat="1" spans="5:6">
      <c r="E809" s="1">
        <f t="shared" si="28"/>
        <v>0</v>
      </c>
      <c r="F809" s="1">
        <f t="shared" si="29"/>
        <v>0</v>
      </c>
    </row>
    <row r="810" s="1" customFormat="1" spans="5:6">
      <c r="E810" s="1">
        <f t="shared" si="28"/>
        <v>0</v>
      </c>
      <c r="F810" s="1">
        <f t="shared" si="29"/>
        <v>0</v>
      </c>
    </row>
    <row r="811" s="1" customFormat="1" spans="5:6">
      <c r="E811" s="1">
        <f t="shared" si="28"/>
        <v>0</v>
      </c>
      <c r="F811" s="1">
        <f t="shared" si="29"/>
        <v>0</v>
      </c>
    </row>
    <row r="812" s="1" customFormat="1" spans="5:6">
      <c r="E812" s="1">
        <f t="shared" si="28"/>
        <v>0</v>
      </c>
      <c r="F812" s="1">
        <f t="shared" si="29"/>
        <v>0</v>
      </c>
    </row>
    <row r="813" s="1" customFormat="1" spans="5:6">
      <c r="E813" s="1">
        <f t="shared" si="28"/>
        <v>0</v>
      </c>
      <c r="F813" s="1">
        <f t="shared" si="29"/>
        <v>0</v>
      </c>
    </row>
    <row r="814" s="1" customFormat="1" spans="5:6">
      <c r="E814" s="1">
        <f t="shared" si="28"/>
        <v>0</v>
      </c>
      <c r="F814" s="1">
        <f t="shared" si="29"/>
        <v>0</v>
      </c>
    </row>
    <row r="815" s="1" customFormat="1" spans="5:6">
      <c r="E815" s="1">
        <f t="shared" si="28"/>
        <v>0</v>
      </c>
      <c r="F815" s="1">
        <f t="shared" si="29"/>
        <v>0</v>
      </c>
    </row>
    <row r="816" s="1" customFormat="1" spans="5:6">
      <c r="E816" s="1">
        <f t="shared" si="28"/>
        <v>0</v>
      </c>
      <c r="F816" s="1">
        <f t="shared" si="29"/>
        <v>0</v>
      </c>
    </row>
    <row r="817" s="1" customFormat="1" spans="5:6">
      <c r="E817" s="1">
        <f t="shared" si="28"/>
        <v>0</v>
      </c>
      <c r="F817" s="1">
        <f t="shared" si="29"/>
        <v>0</v>
      </c>
    </row>
    <row r="818" s="1" customFormat="1" spans="5:6">
      <c r="E818" s="1">
        <f t="shared" si="28"/>
        <v>0</v>
      </c>
      <c r="F818" s="1">
        <f t="shared" si="29"/>
        <v>0</v>
      </c>
    </row>
    <row r="819" s="1" customFormat="1" spans="5:6">
      <c r="E819" s="1">
        <f t="shared" si="28"/>
        <v>0</v>
      </c>
      <c r="F819" s="1">
        <f t="shared" si="29"/>
        <v>0</v>
      </c>
    </row>
    <row r="820" s="1" customFormat="1" spans="5:6">
      <c r="E820" s="1">
        <f t="shared" si="28"/>
        <v>0</v>
      </c>
      <c r="F820" s="1">
        <f t="shared" si="29"/>
        <v>0</v>
      </c>
    </row>
    <row r="821" s="1" customFormat="1" spans="5:6">
      <c r="E821" s="1">
        <f t="shared" si="28"/>
        <v>0</v>
      </c>
      <c r="F821" s="1">
        <f t="shared" si="29"/>
        <v>0</v>
      </c>
    </row>
    <row r="822" s="1" customFormat="1" spans="5:6">
      <c r="E822" s="1">
        <f t="shared" si="28"/>
        <v>0</v>
      </c>
      <c r="F822" s="1">
        <f t="shared" si="29"/>
        <v>0</v>
      </c>
    </row>
    <row r="823" s="1" customFormat="1" spans="5:6">
      <c r="E823" s="1">
        <f t="shared" si="28"/>
        <v>0</v>
      </c>
      <c r="F823" s="1">
        <f t="shared" si="29"/>
        <v>0</v>
      </c>
    </row>
    <row r="824" s="1" customFormat="1" spans="5:6">
      <c r="E824" s="1">
        <f t="shared" si="28"/>
        <v>0</v>
      </c>
      <c r="F824" s="1">
        <f t="shared" si="29"/>
        <v>0</v>
      </c>
    </row>
    <row r="825" s="1" customFormat="1" spans="5:6">
      <c r="E825" s="1">
        <f t="shared" si="28"/>
        <v>0</v>
      </c>
      <c r="F825" s="1">
        <f t="shared" si="29"/>
        <v>0</v>
      </c>
    </row>
    <row r="826" s="1" customFormat="1" spans="5:6">
      <c r="E826" s="1">
        <f t="shared" si="28"/>
        <v>0</v>
      </c>
      <c r="F826" s="1">
        <f t="shared" si="29"/>
        <v>0</v>
      </c>
    </row>
    <row r="827" s="1" customFormat="1" spans="5:6">
      <c r="E827" s="1">
        <f t="shared" si="28"/>
        <v>0</v>
      </c>
      <c r="F827" s="1">
        <f t="shared" si="29"/>
        <v>0</v>
      </c>
    </row>
    <row r="828" s="1" customFormat="1" spans="5:6">
      <c r="E828" s="1">
        <f t="shared" si="28"/>
        <v>0</v>
      </c>
      <c r="F828" s="1">
        <f t="shared" si="29"/>
        <v>0</v>
      </c>
    </row>
    <row r="829" s="1" customFormat="1" spans="5:6">
      <c r="E829" s="1">
        <f t="shared" si="28"/>
        <v>0</v>
      </c>
      <c r="F829" s="1">
        <f t="shared" si="29"/>
        <v>0</v>
      </c>
    </row>
    <row r="830" s="1" customFormat="1" spans="5:6">
      <c r="E830" s="1">
        <f t="shared" si="28"/>
        <v>0</v>
      </c>
      <c r="F830" s="1">
        <f t="shared" si="29"/>
        <v>0</v>
      </c>
    </row>
    <row r="831" s="1" customFormat="1" spans="5:6">
      <c r="E831" s="1">
        <f t="shared" si="28"/>
        <v>0</v>
      </c>
      <c r="F831" s="1">
        <f t="shared" si="29"/>
        <v>0</v>
      </c>
    </row>
    <row r="832" s="1" customFormat="1" spans="5:6">
      <c r="E832" s="1">
        <f t="shared" si="28"/>
        <v>0</v>
      </c>
      <c r="F832" s="1">
        <f t="shared" si="29"/>
        <v>0</v>
      </c>
    </row>
    <row r="833" s="1" customFormat="1" spans="5:6">
      <c r="E833" s="1">
        <f t="shared" si="28"/>
        <v>0</v>
      </c>
      <c r="F833" s="1">
        <f t="shared" si="29"/>
        <v>0</v>
      </c>
    </row>
    <row r="834" s="1" customFormat="1" spans="5:6">
      <c r="E834" s="1">
        <f t="shared" ref="E834:E897" si="30">IF(B834="买入",C834/D834,IF(B834="卖出",-C834/D834,0))</f>
        <v>0</v>
      </c>
      <c r="F834" s="1">
        <f t="shared" ref="F834:F897" si="31">IF(B834="买入",-C834,IF(B834="卖出",C834,0))</f>
        <v>0</v>
      </c>
    </row>
    <row r="835" s="1" customFormat="1" spans="5:6">
      <c r="E835" s="1">
        <f t="shared" si="30"/>
        <v>0</v>
      </c>
      <c r="F835" s="1">
        <f t="shared" si="31"/>
        <v>0</v>
      </c>
    </row>
    <row r="836" s="1" customFormat="1" spans="5:6">
      <c r="E836" s="1">
        <f t="shared" si="30"/>
        <v>0</v>
      </c>
      <c r="F836" s="1">
        <f t="shared" si="31"/>
        <v>0</v>
      </c>
    </row>
    <row r="837" s="1" customFormat="1" spans="5:6">
      <c r="E837" s="1">
        <f t="shared" si="30"/>
        <v>0</v>
      </c>
      <c r="F837" s="1">
        <f t="shared" si="31"/>
        <v>0</v>
      </c>
    </row>
    <row r="838" s="1" customFormat="1" spans="5:6">
      <c r="E838" s="1">
        <f t="shared" si="30"/>
        <v>0</v>
      </c>
      <c r="F838" s="1">
        <f t="shared" si="31"/>
        <v>0</v>
      </c>
    </row>
    <row r="839" s="1" customFormat="1" spans="5:6">
      <c r="E839" s="1">
        <f t="shared" si="30"/>
        <v>0</v>
      </c>
      <c r="F839" s="1">
        <f t="shared" si="31"/>
        <v>0</v>
      </c>
    </row>
    <row r="840" s="1" customFormat="1" spans="5:6">
      <c r="E840" s="1">
        <f t="shared" si="30"/>
        <v>0</v>
      </c>
      <c r="F840" s="1">
        <f t="shared" si="31"/>
        <v>0</v>
      </c>
    </row>
    <row r="841" s="1" customFormat="1" spans="5:6">
      <c r="E841" s="1">
        <f t="shared" si="30"/>
        <v>0</v>
      </c>
      <c r="F841" s="1">
        <f t="shared" si="31"/>
        <v>0</v>
      </c>
    </row>
    <row r="842" s="1" customFormat="1" spans="5:6">
      <c r="E842" s="1">
        <f t="shared" si="30"/>
        <v>0</v>
      </c>
      <c r="F842" s="1">
        <f t="shared" si="31"/>
        <v>0</v>
      </c>
    </row>
    <row r="843" s="1" customFormat="1" spans="5:6">
      <c r="E843" s="1">
        <f t="shared" si="30"/>
        <v>0</v>
      </c>
      <c r="F843" s="1">
        <f t="shared" si="31"/>
        <v>0</v>
      </c>
    </row>
    <row r="844" s="1" customFormat="1" spans="5:6">
      <c r="E844" s="1">
        <f t="shared" si="30"/>
        <v>0</v>
      </c>
      <c r="F844" s="1">
        <f t="shared" si="31"/>
        <v>0</v>
      </c>
    </row>
    <row r="845" s="1" customFormat="1" spans="5:6">
      <c r="E845" s="1">
        <f t="shared" si="30"/>
        <v>0</v>
      </c>
      <c r="F845" s="1">
        <f t="shared" si="31"/>
        <v>0</v>
      </c>
    </row>
    <row r="846" s="1" customFormat="1" spans="5:6">
      <c r="E846" s="1">
        <f t="shared" si="30"/>
        <v>0</v>
      </c>
      <c r="F846" s="1">
        <f t="shared" si="31"/>
        <v>0</v>
      </c>
    </row>
    <row r="847" s="1" customFormat="1" spans="5:6">
      <c r="E847" s="1">
        <f t="shared" si="30"/>
        <v>0</v>
      </c>
      <c r="F847" s="1">
        <f t="shared" si="31"/>
        <v>0</v>
      </c>
    </row>
    <row r="848" s="1" customFormat="1" spans="5:6">
      <c r="E848" s="1">
        <f t="shared" si="30"/>
        <v>0</v>
      </c>
      <c r="F848" s="1">
        <f t="shared" si="31"/>
        <v>0</v>
      </c>
    </row>
    <row r="849" s="1" customFormat="1" spans="5:6">
      <c r="E849" s="1">
        <f t="shared" si="30"/>
        <v>0</v>
      </c>
      <c r="F849" s="1">
        <f t="shared" si="31"/>
        <v>0</v>
      </c>
    </row>
    <row r="850" s="1" customFormat="1" spans="5:6">
      <c r="E850" s="1">
        <f t="shared" si="30"/>
        <v>0</v>
      </c>
      <c r="F850" s="1">
        <f t="shared" si="31"/>
        <v>0</v>
      </c>
    </row>
    <row r="851" s="1" customFormat="1" spans="5:6">
      <c r="E851" s="1">
        <f t="shared" si="30"/>
        <v>0</v>
      </c>
      <c r="F851" s="1">
        <f t="shared" si="31"/>
        <v>0</v>
      </c>
    </row>
    <row r="852" s="1" customFormat="1" spans="5:6">
      <c r="E852" s="1">
        <f t="shared" si="30"/>
        <v>0</v>
      </c>
      <c r="F852" s="1">
        <f t="shared" si="31"/>
        <v>0</v>
      </c>
    </row>
    <row r="853" s="1" customFormat="1" spans="5:6">
      <c r="E853" s="1">
        <f t="shared" si="30"/>
        <v>0</v>
      </c>
      <c r="F853" s="1">
        <f t="shared" si="31"/>
        <v>0</v>
      </c>
    </row>
    <row r="854" s="1" customFormat="1" spans="5:6">
      <c r="E854" s="1">
        <f t="shared" si="30"/>
        <v>0</v>
      </c>
      <c r="F854" s="1">
        <f t="shared" si="31"/>
        <v>0</v>
      </c>
    </row>
    <row r="855" s="1" customFormat="1" spans="5:6">
      <c r="E855" s="1">
        <f t="shared" si="30"/>
        <v>0</v>
      </c>
      <c r="F855" s="1">
        <f t="shared" si="31"/>
        <v>0</v>
      </c>
    </row>
    <row r="856" s="1" customFormat="1" spans="5:6">
      <c r="E856" s="1">
        <f t="shared" si="30"/>
        <v>0</v>
      </c>
      <c r="F856" s="1">
        <f t="shared" si="31"/>
        <v>0</v>
      </c>
    </row>
    <row r="857" s="1" customFormat="1" spans="5:6">
      <c r="E857" s="1">
        <f t="shared" si="30"/>
        <v>0</v>
      </c>
      <c r="F857" s="1">
        <f t="shared" si="31"/>
        <v>0</v>
      </c>
    </row>
    <row r="858" s="1" customFormat="1" spans="5:6">
      <c r="E858" s="1">
        <f t="shared" si="30"/>
        <v>0</v>
      </c>
      <c r="F858" s="1">
        <f t="shared" si="31"/>
        <v>0</v>
      </c>
    </row>
    <row r="859" s="1" customFormat="1" spans="5:6">
      <c r="E859" s="1">
        <f t="shared" si="30"/>
        <v>0</v>
      </c>
      <c r="F859" s="1">
        <f t="shared" si="31"/>
        <v>0</v>
      </c>
    </row>
    <row r="860" s="1" customFormat="1" spans="5:6">
      <c r="E860" s="1">
        <f t="shared" si="30"/>
        <v>0</v>
      </c>
      <c r="F860" s="1">
        <f t="shared" si="31"/>
        <v>0</v>
      </c>
    </row>
    <row r="861" s="1" customFormat="1" spans="5:6">
      <c r="E861" s="1">
        <f t="shared" si="30"/>
        <v>0</v>
      </c>
      <c r="F861" s="1">
        <f t="shared" si="31"/>
        <v>0</v>
      </c>
    </row>
    <row r="862" s="1" customFormat="1" spans="5:6">
      <c r="E862" s="1">
        <f t="shared" si="30"/>
        <v>0</v>
      </c>
      <c r="F862" s="1">
        <f t="shared" si="31"/>
        <v>0</v>
      </c>
    </row>
    <row r="863" s="1" customFormat="1" spans="5:6">
      <c r="E863" s="1">
        <f t="shared" si="30"/>
        <v>0</v>
      </c>
      <c r="F863" s="1">
        <f t="shared" si="31"/>
        <v>0</v>
      </c>
    </row>
    <row r="864" s="1" customFormat="1" spans="5:6">
      <c r="E864" s="1">
        <f t="shared" si="30"/>
        <v>0</v>
      </c>
      <c r="F864" s="1">
        <f t="shared" si="31"/>
        <v>0</v>
      </c>
    </row>
    <row r="865" s="1" customFormat="1" spans="5:6">
      <c r="E865" s="1">
        <f t="shared" si="30"/>
        <v>0</v>
      </c>
      <c r="F865" s="1">
        <f t="shared" si="31"/>
        <v>0</v>
      </c>
    </row>
    <row r="866" s="1" customFormat="1" spans="5:6">
      <c r="E866" s="1">
        <f t="shared" si="30"/>
        <v>0</v>
      </c>
      <c r="F866" s="1">
        <f t="shared" si="31"/>
        <v>0</v>
      </c>
    </row>
    <row r="867" s="1" customFormat="1" spans="5:6">
      <c r="E867" s="1">
        <f t="shared" si="30"/>
        <v>0</v>
      </c>
      <c r="F867" s="1">
        <f t="shared" si="31"/>
        <v>0</v>
      </c>
    </row>
    <row r="868" s="1" customFormat="1" spans="5:6">
      <c r="E868" s="1">
        <f t="shared" si="30"/>
        <v>0</v>
      </c>
      <c r="F868" s="1">
        <f t="shared" si="31"/>
        <v>0</v>
      </c>
    </row>
    <row r="869" s="1" customFormat="1" spans="5:6">
      <c r="E869" s="1">
        <f t="shared" si="30"/>
        <v>0</v>
      </c>
      <c r="F869" s="1">
        <f t="shared" si="31"/>
        <v>0</v>
      </c>
    </row>
    <row r="870" s="1" customFormat="1" spans="5:6">
      <c r="E870" s="1">
        <f t="shared" si="30"/>
        <v>0</v>
      </c>
      <c r="F870" s="1">
        <f t="shared" si="31"/>
        <v>0</v>
      </c>
    </row>
    <row r="871" s="1" customFormat="1" spans="5:6">
      <c r="E871" s="1">
        <f t="shared" si="30"/>
        <v>0</v>
      </c>
      <c r="F871" s="1">
        <f t="shared" si="31"/>
        <v>0</v>
      </c>
    </row>
    <row r="872" s="1" customFormat="1" spans="5:6">
      <c r="E872" s="1">
        <f t="shared" si="30"/>
        <v>0</v>
      </c>
      <c r="F872" s="1">
        <f t="shared" si="31"/>
        <v>0</v>
      </c>
    </row>
    <row r="873" s="1" customFormat="1" spans="5:6">
      <c r="E873" s="1">
        <f t="shared" si="30"/>
        <v>0</v>
      </c>
      <c r="F873" s="1">
        <f t="shared" si="31"/>
        <v>0</v>
      </c>
    </row>
    <row r="874" s="1" customFormat="1" spans="5:6">
      <c r="E874" s="1">
        <f t="shared" si="30"/>
        <v>0</v>
      </c>
      <c r="F874" s="1">
        <f t="shared" si="31"/>
        <v>0</v>
      </c>
    </row>
    <row r="875" s="1" customFormat="1" spans="5:6">
      <c r="E875" s="1">
        <f t="shared" si="30"/>
        <v>0</v>
      </c>
      <c r="F875" s="1">
        <f t="shared" si="31"/>
        <v>0</v>
      </c>
    </row>
    <row r="876" s="1" customFormat="1" spans="5:6">
      <c r="E876" s="1">
        <f t="shared" si="30"/>
        <v>0</v>
      </c>
      <c r="F876" s="1">
        <f t="shared" si="31"/>
        <v>0</v>
      </c>
    </row>
    <row r="877" s="1" customFormat="1" spans="5:6">
      <c r="E877" s="1">
        <f t="shared" si="30"/>
        <v>0</v>
      </c>
      <c r="F877" s="1">
        <f t="shared" si="31"/>
        <v>0</v>
      </c>
    </row>
    <row r="878" s="1" customFormat="1" spans="5:6">
      <c r="E878" s="1">
        <f t="shared" si="30"/>
        <v>0</v>
      </c>
      <c r="F878" s="1">
        <f t="shared" si="31"/>
        <v>0</v>
      </c>
    </row>
    <row r="879" s="1" customFormat="1" spans="5:6">
      <c r="E879" s="1">
        <f t="shared" si="30"/>
        <v>0</v>
      </c>
      <c r="F879" s="1">
        <f t="shared" si="31"/>
        <v>0</v>
      </c>
    </row>
    <row r="880" s="1" customFormat="1" spans="5:6">
      <c r="E880" s="1">
        <f t="shared" si="30"/>
        <v>0</v>
      </c>
      <c r="F880" s="1">
        <f t="shared" si="31"/>
        <v>0</v>
      </c>
    </row>
    <row r="881" s="1" customFormat="1" spans="5:6">
      <c r="E881" s="1">
        <f t="shared" si="30"/>
        <v>0</v>
      </c>
      <c r="F881" s="1">
        <f t="shared" si="31"/>
        <v>0</v>
      </c>
    </row>
    <row r="882" s="1" customFormat="1" spans="5:6">
      <c r="E882" s="1">
        <f t="shared" si="30"/>
        <v>0</v>
      </c>
      <c r="F882" s="1">
        <f t="shared" si="31"/>
        <v>0</v>
      </c>
    </row>
    <row r="883" s="1" customFormat="1" spans="5:6">
      <c r="E883" s="1">
        <f t="shared" si="30"/>
        <v>0</v>
      </c>
      <c r="F883" s="1">
        <f t="shared" si="31"/>
        <v>0</v>
      </c>
    </row>
    <row r="884" s="1" customFormat="1" spans="5:6">
      <c r="E884" s="1">
        <f t="shared" si="30"/>
        <v>0</v>
      </c>
      <c r="F884" s="1">
        <f t="shared" si="31"/>
        <v>0</v>
      </c>
    </row>
    <row r="885" s="1" customFormat="1" spans="5:6">
      <c r="E885" s="1">
        <f t="shared" si="30"/>
        <v>0</v>
      </c>
      <c r="F885" s="1">
        <f t="shared" si="31"/>
        <v>0</v>
      </c>
    </row>
    <row r="886" s="1" customFormat="1" spans="5:6">
      <c r="E886" s="1">
        <f t="shared" si="30"/>
        <v>0</v>
      </c>
      <c r="F886" s="1">
        <f t="shared" si="31"/>
        <v>0</v>
      </c>
    </row>
    <row r="887" s="1" customFormat="1" spans="5:6">
      <c r="E887" s="1">
        <f t="shared" si="30"/>
        <v>0</v>
      </c>
      <c r="F887" s="1">
        <f t="shared" si="31"/>
        <v>0</v>
      </c>
    </row>
    <row r="888" s="1" customFormat="1" spans="5:6">
      <c r="E888" s="1">
        <f t="shared" si="30"/>
        <v>0</v>
      </c>
      <c r="F888" s="1">
        <f t="shared" si="31"/>
        <v>0</v>
      </c>
    </row>
    <row r="889" s="1" customFormat="1" spans="5:6">
      <c r="E889" s="1">
        <f t="shared" si="30"/>
        <v>0</v>
      </c>
      <c r="F889" s="1">
        <f t="shared" si="31"/>
        <v>0</v>
      </c>
    </row>
    <row r="890" s="1" customFormat="1" spans="5:6">
      <c r="E890" s="1">
        <f t="shared" si="30"/>
        <v>0</v>
      </c>
      <c r="F890" s="1">
        <f t="shared" si="31"/>
        <v>0</v>
      </c>
    </row>
    <row r="891" s="1" customFormat="1" spans="5:6">
      <c r="E891" s="1">
        <f t="shared" si="30"/>
        <v>0</v>
      </c>
      <c r="F891" s="1">
        <f t="shared" si="31"/>
        <v>0</v>
      </c>
    </row>
    <row r="892" s="1" customFormat="1" spans="5:6">
      <c r="E892" s="1">
        <f t="shared" si="30"/>
        <v>0</v>
      </c>
      <c r="F892" s="1">
        <f t="shared" si="31"/>
        <v>0</v>
      </c>
    </row>
    <row r="893" s="1" customFormat="1" spans="5:6">
      <c r="E893" s="1">
        <f t="shared" si="30"/>
        <v>0</v>
      </c>
      <c r="F893" s="1">
        <f t="shared" si="31"/>
        <v>0</v>
      </c>
    </row>
    <row r="894" s="1" customFormat="1" spans="5:6">
      <c r="E894" s="1">
        <f t="shared" si="30"/>
        <v>0</v>
      </c>
      <c r="F894" s="1">
        <f t="shared" si="31"/>
        <v>0</v>
      </c>
    </row>
    <row r="895" s="1" customFormat="1" spans="5:6">
      <c r="E895" s="1">
        <f t="shared" si="30"/>
        <v>0</v>
      </c>
      <c r="F895" s="1">
        <f t="shared" si="31"/>
        <v>0</v>
      </c>
    </row>
    <row r="896" s="1" customFormat="1" spans="5:6">
      <c r="E896" s="1">
        <f t="shared" si="30"/>
        <v>0</v>
      </c>
      <c r="F896" s="1">
        <f t="shared" si="31"/>
        <v>0</v>
      </c>
    </row>
    <row r="897" s="1" customFormat="1" spans="5:6">
      <c r="E897" s="1">
        <f t="shared" si="30"/>
        <v>0</v>
      </c>
      <c r="F897" s="1">
        <f t="shared" si="31"/>
        <v>0</v>
      </c>
    </row>
    <row r="898" s="1" customFormat="1" spans="5:6">
      <c r="E898" s="1">
        <f t="shared" ref="E898:E961" si="32">IF(B898="买入",C898/D898,IF(B898="卖出",-C898/D898,0))</f>
        <v>0</v>
      </c>
      <c r="F898" s="1">
        <f t="shared" ref="F898:F961" si="33">IF(B898="买入",-C898,IF(B898="卖出",C898,0))</f>
        <v>0</v>
      </c>
    </row>
    <row r="899" s="1" customFormat="1" spans="5:6">
      <c r="E899" s="1">
        <f t="shared" si="32"/>
        <v>0</v>
      </c>
      <c r="F899" s="1">
        <f t="shared" si="33"/>
        <v>0</v>
      </c>
    </row>
    <row r="900" s="1" customFormat="1" spans="5:6">
      <c r="E900" s="1">
        <f t="shared" si="32"/>
        <v>0</v>
      </c>
      <c r="F900" s="1">
        <f t="shared" si="33"/>
        <v>0</v>
      </c>
    </row>
    <row r="901" s="1" customFormat="1" spans="5:6">
      <c r="E901" s="1">
        <f t="shared" si="32"/>
        <v>0</v>
      </c>
      <c r="F901" s="1">
        <f t="shared" si="33"/>
        <v>0</v>
      </c>
    </row>
    <row r="902" s="1" customFormat="1" spans="5:6">
      <c r="E902" s="1">
        <f t="shared" si="32"/>
        <v>0</v>
      </c>
      <c r="F902" s="1">
        <f t="shared" si="33"/>
        <v>0</v>
      </c>
    </row>
    <row r="903" s="1" customFormat="1" spans="5:6">
      <c r="E903" s="1">
        <f t="shared" si="32"/>
        <v>0</v>
      </c>
      <c r="F903" s="1">
        <f t="shared" si="33"/>
        <v>0</v>
      </c>
    </row>
    <row r="904" s="1" customFormat="1" spans="5:6">
      <c r="E904" s="1">
        <f t="shared" si="32"/>
        <v>0</v>
      </c>
      <c r="F904" s="1">
        <f t="shared" si="33"/>
        <v>0</v>
      </c>
    </row>
    <row r="905" s="1" customFormat="1" spans="5:6">
      <c r="E905" s="1">
        <f t="shared" si="32"/>
        <v>0</v>
      </c>
      <c r="F905" s="1">
        <f t="shared" si="33"/>
        <v>0</v>
      </c>
    </row>
    <row r="906" s="1" customFormat="1" spans="5:6">
      <c r="E906" s="1">
        <f t="shared" si="32"/>
        <v>0</v>
      </c>
      <c r="F906" s="1">
        <f t="shared" si="33"/>
        <v>0</v>
      </c>
    </row>
    <row r="907" s="1" customFormat="1" spans="5:6">
      <c r="E907" s="1">
        <f t="shared" si="32"/>
        <v>0</v>
      </c>
      <c r="F907" s="1">
        <f t="shared" si="33"/>
        <v>0</v>
      </c>
    </row>
    <row r="908" s="1" customFormat="1" spans="5:6">
      <c r="E908" s="1">
        <f t="shared" si="32"/>
        <v>0</v>
      </c>
      <c r="F908" s="1">
        <f t="shared" si="33"/>
        <v>0</v>
      </c>
    </row>
    <row r="909" s="1" customFormat="1" spans="5:6">
      <c r="E909" s="1">
        <f t="shared" si="32"/>
        <v>0</v>
      </c>
      <c r="F909" s="1">
        <f t="shared" si="33"/>
        <v>0</v>
      </c>
    </row>
    <row r="910" s="1" customFormat="1" spans="5:6">
      <c r="E910" s="1">
        <f t="shared" si="32"/>
        <v>0</v>
      </c>
      <c r="F910" s="1">
        <f t="shared" si="33"/>
        <v>0</v>
      </c>
    </row>
    <row r="911" s="1" customFormat="1" spans="5:6">
      <c r="E911" s="1">
        <f t="shared" si="32"/>
        <v>0</v>
      </c>
      <c r="F911" s="1">
        <f t="shared" si="33"/>
        <v>0</v>
      </c>
    </row>
    <row r="912" s="1" customFormat="1" spans="5:6">
      <c r="E912" s="1">
        <f t="shared" si="32"/>
        <v>0</v>
      </c>
      <c r="F912" s="1">
        <f t="shared" si="33"/>
        <v>0</v>
      </c>
    </row>
    <row r="913" s="1" customFormat="1" spans="5:6">
      <c r="E913" s="1">
        <f t="shared" si="32"/>
        <v>0</v>
      </c>
      <c r="F913" s="1">
        <f t="shared" si="33"/>
        <v>0</v>
      </c>
    </row>
    <row r="914" s="1" customFormat="1" spans="5:6">
      <c r="E914" s="1">
        <f t="shared" si="32"/>
        <v>0</v>
      </c>
      <c r="F914" s="1">
        <f t="shared" si="33"/>
        <v>0</v>
      </c>
    </row>
    <row r="915" s="1" customFormat="1" spans="5:6">
      <c r="E915" s="1">
        <f t="shared" si="32"/>
        <v>0</v>
      </c>
      <c r="F915" s="1">
        <f t="shared" si="33"/>
        <v>0</v>
      </c>
    </row>
    <row r="916" s="1" customFormat="1" spans="5:6">
      <c r="E916" s="1">
        <f t="shared" si="32"/>
        <v>0</v>
      </c>
      <c r="F916" s="1">
        <f t="shared" si="33"/>
        <v>0</v>
      </c>
    </row>
    <row r="917" s="1" customFormat="1" spans="5:6">
      <c r="E917" s="1">
        <f t="shared" si="32"/>
        <v>0</v>
      </c>
      <c r="F917" s="1">
        <f t="shared" si="33"/>
        <v>0</v>
      </c>
    </row>
    <row r="918" s="1" customFormat="1" spans="5:6">
      <c r="E918" s="1">
        <f t="shared" si="32"/>
        <v>0</v>
      </c>
      <c r="F918" s="1">
        <f t="shared" si="33"/>
        <v>0</v>
      </c>
    </row>
    <row r="919" s="1" customFormat="1" spans="5:6">
      <c r="E919" s="1">
        <f t="shared" si="32"/>
        <v>0</v>
      </c>
      <c r="F919" s="1">
        <f t="shared" si="33"/>
        <v>0</v>
      </c>
    </row>
    <row r="920" s="1" customFormat="1" spans="5:6">
      <c r="E920" s="1">
        <f t="shared" si="32"/>
        <v>0</v>
      </c>
      <c r="F920" s="1">
        <f t="shared" si="33"/>
        <v>0</v>
      </c>
    </row>
    <row r="921" s="1" customFormat="1" spans="5:6">
      <c r="E921" s="1">
        <f t="shared" si="32"/>
        <v>0</v>
      </c>
      <c r="F921" s="1">
        <f t="shared" si="33"/>
        <v>0</v>
      </c>
    </row>
    <row r="922" s="1" customFormat="1" spans="5:6">
      <c r="E922" s="1">
        <f t="shared" si="32"/>
        <v>0</v>
      </c>
      <c r="F922" s="1">
        <f t="shared" si="33"/>
        <v>0</v>
      </c>
    </row>
    <row r="923" s="1" customFormat="1" spans="5:6">
      <c r="E923" s="1">
        <f t="shared" si="32"/>
        <v>0</v>
      </c>
      <c r="F923" s="1">
        <f t="shared" si="33"/>
        <v>0</v>
      </c>
    </row>
    <row r="924" s="1" customFormat="1" spans="5:6">
      <c r="E924" s="1">
        <f t="shared" si="32"/>
        <v>0</v>
      </c>
      <c r="F924" s="1">
        <f t="shared" si="33"/>
        <v>0</v>
      </c>
    </row>
    <row r="925" s="1" customFormat="1" spans="5:6">
      <c r="E925" s="1">
        <f t="shared" si="32"/>
        <v>0</v>
      </c>
      <c r="F925" s="1">
        <f t="shared" si="33"/>
        <v>0</v>
      </c>
    </row>
    <row r="926" s="1" customFormat="1" spans="5:6">
      <c r="E926" s="1">
        <f t="shared" si="32"/>
        <v>0</v>
      </c>
      <c r="F926" s="1">
        <f t="shared" si="33"/>
        <v>0</v>
      </c>
    </row>
    <row r="927" s="1" customFormat="1" spans="5:6">
      <c r="E927" s="1">
        <f t="shared" si="32"/>
        <v>0</v>
      </c>
      <c r="F927" s="1">
        <f t="shared" si="33"/>
        <v>0</v>
      </c>
    </row>
    <row r="928" s="1" customFormat="1" spans="5:6">
      <c r="E928" s="1">
        <f t="shared" si="32"/>
        <v>0</v>
      </c>
      <c r="F928" s="1">
        <f t="shared" si="33"/>
        <v>0</v>
      </c>
    </row>
    <row r="929" s="1" customFormat="1" spans="5:6">
      <c r="E929" s="1">
        <f t="shared" si="32"/>
        <v>0</v>
      </c>
      <c r="F929" s="1">
        <f t="shared" si="33"/>
        <v>0</v>
      </c>
    </row>
    <row r="930" s="1" customFormat="1" spans="5:6">
      <c r="E930" s="1">
        <f t="shared" si="32"/>
        <v>0</v>
      </c>
      <c r="F930" s="1">
        <f t="shared" si="33"/>
        <v>0</v>
      </c>
    </row>
    <row r="931" s="1" customFormat="1" spans="5:6">
      <c r="E931" s="1">
        <f t="shared" si="32"/>
        <v>0</v>
      </c>
      <c r="F931" s="1">
        <f t="shared" si="33"/>
        <v>0</v>
      </c>
    </row>
    <row r="932" s="1" customFormat="1" spans="5:6">
      <c r="E932" s="1">
        <f t="shared" si="32"/>
        <v>0</v>
      </c>
      <c r="F932" s="1">
        <f t="shared" si="33"/>
        <v>0</v>
      </c>
    </row>
    <row r="933" s="1" customFormat="1" spans="5:6">
      <c r="E933" s="1">
        <f t="shared" si="32"/>
        <v>0</v>
      </c>
      <c r="F933" s="1">
        <f t="shared" si="33"/>
        <v>0</v>
      </c>
    </row>
    <row r="934" s="1" customFormat="1" spans="5:6">
      <c r="E934" s="1">
        <f t="shared" si="32"/>
        <v>0</v>
      </c>
      <c r="F934" s="1">
        <f t="shared" si="33"/>
        <v>0</v>
      </c>
    </row>
    <row r="935" s="1" customFormat="1" spans="5:6">
      <c r="E935" s="1">
        <f t="shared" si="32"/>
        <v>0</v>
      </c>
      <c r="F935" s="1">
        <f t="shared" si="33"/>
        <v>0</v>
      </c>
    </row>
    <row r="936" s="1" customFormat="1" spans="5:6">
      <c r="E936" s="1">
        <f t="shared" si="32"/>
        <v>0</v>
      </c>
      <c r="F936" s="1">
        <f t="shared" si="33"/>
        <v>0</v>
      </c>
    </row>
    <row r="937" s="1" customFormat="1" spans="5:6">
      <c r="E937" s="1">
        <f t="shared" si="32"/>
        <v>0</v>
      </c>
      <c r="F937" s="1">
        <f t="shared" si="33"/>
        <v>0</v>
      </c>
    </row>
    <row r="938" s="1" customFormat="1" spans="5:6">
      <c r="E938" s="1">
        <f t="shared" si="32"/>
        <v>0</v>
      </c>
      <c r="F938" s="1">
        <f t="shared" si="33"/>
        <v>0</v>
      </c>
    </row>
    <row r="939" s="1" customFormat="1" spans="5:6">
      <c r="E939" s="1">
        <f t="shared" si="32"/>
        <v>0</v>
      </c>
      <c r="F939" s="1">
        <f t="shared" si="33"/>
        <v>0</v>
      </c>
    </row>
    <row r="940" s="1" customFormat="1" spans="5:6">
      <c r="E940" s="1">
        <f t="shared" si="32"/>
        <v>0</v>
      </c>
      <c r="F940" s="1">
        <f t="shared" si="33"/>
        <v>0</v>
      </c>
    </row>
    <row r="941" s="1" customFormat="1" spans="5:6">
      <c r="E941" s="1">
        <f t="shared" si="32"/>
        <v>0</v>
      </c>
      <c r="F941" s="1">
        <f t="shared" si="33"/>
        <v>0</v>
      </c>
    </row>
    <row r="942" s="1" customFormat="1" spans="5:6">
      <c r="E942" s="1">
        <f t="shared" si="32"/>
        <v>0</v>
      </c>
      <c r="F942" s="1">
        <f t="shared" si="33"/>
        <v>0</v>
      </c>
    </row>
    <row r="943" s="1" customFormat="1" spans="5:6">
      <c r="E943" s="1">
        <f t="shared" si="32"/>
        <v>0</v>
      </c>
      <c r="F943" s="1">
        <f t="shared" si="33"/>
        <v>0</v>
      </c>
    </row>
    <row r="944" s="1" customFormat="1" spans="5:6">
      <c r="E944" s="1">
        <f t="shared" si="32"/>
        <v>0</v>
      </c>
      <c r="F944" s="1">
        <f t="shared" si="33"/>
        <v>0</v>
      </c>
    </row>
    <row r="945" s="1" customFormat="1" spans="5:6">
      <c r="E945" s="1">
        <f t="shared" si="32"/>
        <v>0</v>
      </c>
      <c r="F945" s="1">
        <f t="shared" si="33"/>
        <v>0</v>
      </c>
    </row>
    <row r="946" s="1" customFormat="1" spans="5:6">
      <c r="E946" s="1">
        <f t="shared" si="32"/>
        <v>0</v>
      </c>
      <c r="F946" s="1">
        <f t="shared" si="33"/>
        <v>0</v>
      </c>
    </row>
    <row r="947" s="1" customFormat="1" spans="5:6">
      <c r="E947" s="1">
        <f t="shared" si="32"/>
        <v>0</v>
      </c>
      <c r="F947" s="1">
        <f t="shared" si="33"/>
        <v>0</v>
      </c>
    </row>
    <row r="948" s="1" customFormat="1" spans="5:6">
      <c r="E948" s="1">
        <f t="shared" si="32"/>
        <v>0</v>
      </c>
      <c r="F948" s="1">
        <f t="shared" si="33"/>
        <v>0</v>
      </c>
    </row>
    <row r="949" s="1" customFormat="1" spans="5:6">
      <c r="E949" s="1">
        <f t="shared" si="32"/>
        <v>0</v>
      </c>
      <c r="F949" s="1">
        <f t="shared" si="33"/>
        <v>0</v>
      </c>
    </row>
    <row r="950" s="1" customFormat="1" spans="5:6">
      <c r="E950" s="1">
        <f t="shared" si="32"/>
        <v>0</v>
      </c>
      <c r="F950" s="1">
        <f t="shared" si="33"/>
        <v>0</v>
      </c>
    </row>
    <row r="951" s="1" customFormat="1" spans="5:6">
      <c r="E951" s="1">
        <f t="shared" si="32"/>
        <v>0</v>
      </c>
      <c r="F951" s="1">
        <f t="shared" si="33"/>
        <v>0</v>
      </c>
    </row>
    <row r="952" s="1" customFormat="1" spans="5:6">
      <c r="E952" s="1">
        <f t="shared" si="32"/>
        <v>0</v>
      </c>
      <c r="F952" s="1">
        <f t="shared" si="33"/>
        <v>0</v>
      </c>
    </row>
    <row r="953" s="1" customFormat="1" spans="5:6">
      <c r="E953" s="1">
        <f t="shared" si="32"/>
        <v>0</v>
      </c>
      <c r="F953" s="1">
        <f t="shared" si="33"/>
        <v>0</v>
      </c>
    </row>
    <row r="954" s="1" customFormat="1" spans="5:6">
      <c r="E954" s="1">
        <f t="shared" si="32"/>
        <v>0</v>
      </c>
      <c r="F954" s="1">
        <f t="shared" si="33"/>
        <v>0</v>
      </c>
    </row>
    <row r="955" s="1" customFormat="1" spans="5:6">
      <c r="E955" s="1">
        <f t="shared" si="32"/>
        <v>0</v>
      </c>
      <c r="F955" s="1">
        <f t="shared" si="33"/>
        <v>0</v>
      </c>
    </row>
    <row r="956" s="1" customFormat="1" spans="5:6">
      <c r="E956" s="1">
        <f t="shared" si="32"/>
        <v>0</v>
      </c>
      <c r="F956" s="1">
        <f t="shared" si="33"/>
        <v>0</v>
      </c>
    </row>
    <row r="957" s="1" customFormat="1" spans="5:6">
      <c r="E957" s="1">
        <f t="shared" si="32"/>
        <v>0</v>
      </c>
      <c r="F957" s="1">
        <f t="shared" si="33"/>
        <v>0</v>
      </c>
    </row>
    <row r="958" s="1" customFormat="1" spans="5:6">
      <c r="E958" s="1">
        <f t="shared" si="32"/>
        <v>0</v>
      </c>
      <c r="F958" s="1">
        <f t="shared" si="33"/>
        <v>0</v>
      </c>
    </row>
    <row r="959" s="1" customFormat="1" spans="5:6">
      <c r="E959" s="1">
        <f t="shared" si="32"/>
        <v>0</v>
      </c>
      <c r="F959" s="1">
        <f t="shared" si="33"/>
        <v>0</v>
      </c>
    </row>
    <row r="960" s="1" customFormat="1" spans="5:6">
      <c r="E960" s="1">
        <f t="shared" si="32"/>
        <v>0</v>
      </c>
      <c r="F960" s="1">
        <f t="shared" si="33"/>
        <v>0</v>
      </c>
    </row>
    <row r="961" s="1" customFormat="1" spans="5:6">
      <c r="E961" s="1">
        <f t="shared" si="32"/>
        <v>0</v>
      </c>
      <c r="F961" s="1">
        <f t="shared" si="33"/>
        <v>0</v>
      </c>
    </row>
    <row r="962" s="1" customFormat="1" spans="5:6">
      <c r="E962" s="1">
        <f t="shared" ref="E962:E1001" si="34">IF(B962="买入",C962/D962,IF(B962="卖出",-C962/D962,0))</f>
        <v>0</v>
      </c>
      <c r="F962" s="1">
        <f t="shared" ref="F962:F1001" si="35">IF(B962="买入",-C962,IF(B962="卖出",C962,0))</f>
        <v>0</v>
      </c>
    </row>
    <row r="963" s="1" customFormat="1" spans="5:6">
      <c r="E963" s="1">
        <f t="shared" si="34"/>
        <v>0</v>
      </c>
      <c r="F963" s="1">
        <f t="shared" si="35"/>
        <v>0</v>
      </c>
    </row>
    <row r="964" s="1" customFormat="1" spans="5:6">
      <c r="E964" s="1">
        <f t="shared" si="34"/>
        <v>0</v>
      </c>
      <c r="F964" s="1">
        <f t="shared" si="35"/>
        <v>0</v>
      </c>
    </row>
    <row r="965" s="1" customFormat="1" spans="5:6">
      <c r="E965" s="1">
        <f t="shared" si="34"/>
        <v>0</v>
      </c>
      <c r="F965" s="1">
        <f t="shared" si="35"/>
        <v>0</v>
      </c>
    </row>
    <row r="966" s="1" customFormat="1" spans="5:6">
      <c r="E966" s="1">
        <f t="shared" si="34"/>
        <v>0</v>
      </c>
      <c r="F966" s="1">
        <f t="shared" si="35"/>
        <v>0</v>
      </c>
    </row>
    <row r="967" s="1" customFormat="1" spans="5:6">
      <c r="E967" s="1">
        <f t="shared" si="34"/>
        <v>0</v>
      </c>
      <c r="F967" s="1">
        <f t="shared" si="35"/>
        <v>0</v>
      </c>
    </row>
    <row r="968" s="1" customFormat="1" spans="5:6">
      <c r="E968" s="1">
        <f t="shared" si="34"/>
        <v>0</v>
      </c>
      <c r="F968" s="1">
        <f t="shared" si="35"/>
        <v>0</v>
      </c>
    </row>
    <row r="969" s="1" customFormat="1" spans="5:6">
      <c r="E969" s="1">
        <f t="shared" si="34"/>
        <v>0</v>
      </c>
      <c r="F969" s="1">
        <f t="shared" si="35"/>
        <v>0</v>
      </c>
    </row>
    <row r="970" s="1" customFormat="1" spans="5:6">
      <c r="E970" s="1">
        <f t="shared" si="34"/>
        <v>0</v>
      </c>
      <c r="F970" s="1">
        <f t="shared" si="35"/>
        <v>0</v>
      </c>
    </row>
    <row r="971" s="1" customFormat="1" spans="5:6">
      <c r="E971" s="1">
        <f t="shared" si="34"/>
        <v>0</v>
      </c>
      <c r="F971" s="1">
        <f t="shared" si="35"/>
        <v>0</v>
      </c>
    </row>
    <row r="972" s="1" customFormat="1" spans="5:6">
      <c r="E972" s="1">
        <f t="shared" si="34"/>
        <v>0</v>
      </c>
      <c r="F972" s="1">
        <f t="shared" si="35"/>
        <v>0</v>
      </c>
    </row>
    <row r="973" s="1" customFormat="1" spans="5:6">
      <c r="E973" s="1">
        <f t="shared" si="34"/>
        <v>0</v>
      </c>
      <c r="F973" s="1">
        <f t="shared" si="35"/>
        <v>0</v>
      </c>
    </row>
    <row r="974" s="1" customFormat="1" spans="5:6">
      <c r="E974" s="1">
        <f t="shared" si="34"/>
        <v>0</v>
      </c>
      <c r="F974" s="1">
        <f t="shared" si="35"/>
        <v>0</v>
      </c>
    </row>
    <row r="975" s="1" customFormat="1" spans="5:6">
      <c r="E975" s="1">
        <f t="shared" si="34"/>
        <v>0</v>
      </c>
      <c r="F975" s="1">
        <f t="shared" si="35"/>
        <v>0</v>
      </c>
    </row>
    <row r="976" s="1" customFormat="1" spans="5:6">
      <c r="E976" s="1">
        <f t="shared" si="34"/>
        <v>0</v>
      </c>
      <c r="F976" s="1">
        <f t="shared" si="35"/>
        <v>0</v>
      </c>
    </row>
    <row r="977" s="1" customFormat="1" spans="5:6">
      <c r="E977" s="1">
        <f t="shared" si="34"/>
        <v>0</v>
      </c>
      <c r="F977" s="1">
        <f t="shared" si="35"/>
        <v>0</v>
      </c>
    </row>
    <row r="978" s="1" customFormat="1" spans="5:6">
      <c r="E978" s="1">
        <f t="shared" si="34"/>
        <v>0</v>
      </c>
      <c r="F978" s="1">
        <f t="shared" si="35"/>
        <v>0</v>
      </c>
    </row>
    <row r="979" s="1" customFormat="1" spans="5:6">
      <c r="E979" s="1">
        <f t="shared" si="34"/>
        <v>0</v>
      </c>
      <c r="F979" s="1">
        <f t="shared" si="35"/>
        <v>0</v>
      </c>
    </row>
    <row r="980" s="1" customFormat="1" spans="5:6">
      <c r="E980" s="1">
        <f t="shared" si="34"/>
        <v>0</v>
      </c>
      <c r="F980" s="1">
        <f t="shared" si="35"/>
        <v>0</v>
      </c>
    </row>
    <row r="981" s="1" customFormat="1" spans="5:6">
      <c r="E981" s="1">
        <f t="shared" si="34"/>
        <v>0</v>
      </c>
      <c r="F981" s="1">
        <f t="shared" si="35"/>
        <v>0</v>
      </c>
    </row>
    <row r="982" s="1" customFormat="1" spans="5:6">
      <c r="E982" s="1">
        <f t="shared" si="34"/>
        <v>0</v>
      </c>
      <c r="F982" s="1">
        <f t="shared" si="35"/>
        <v>0</v>
      </c>
    </row>
    <row r="983" s="1" customFormat="1" spans="5:6">
      <c r="E983" s="1">
        <f t="shared" si="34"/>
        <v>0</v>
      </c>
      <c r="F983" s="1">
        <f t="shared" si="35"/>
        <v>0</v>
      </c>
    </row>
    <row r="984" s="1" customFormat="1" spans="5:6">
      <c r="E984" s="1">
        <f t="shared" si="34"/>
        <v>0</v>
      </c>
      <c r="F984" s="1">
        <f t="shared" si="35"/>
        <v>0</v>
      </c>
    </row>
    <row r="985" s="1" customFormat="1" spans="5:6">
      <c r="E985" s="1">
        <f t="shared" si="34"/>
        <v>0</v>
      </c>
      <c r="F985" s="1">
        <f t="shared" si="35"/>
        <v>0</v>
      </c>
    </row>
    <row r="986" s="1" customFormat="1" spans="5:6">
      <c r="E986" s="1">
        <f t="shared" si="34"/>
        <v>0</v>
      </c>
      <c r="F986" s="1">
        <f t="shared" si="35"/>
        <v>0</v>
      </c>
    </row>
    <row r="987" s="1" customFormat="1" spans="5:6">
      <c r="E987" s="1">
        <f t="shared" si="34"/>
        <v>0</v>
      </c>
      <c r="F987" s="1">
        <f t="shared" si="35"/>
        <v>0</v>
      </c>
    </row>
    <row r="988" s="1" customFormat="1" spans="5:6">
      <c r="E988" s="1">
        <f t="shared" si="34"/>
        <v>0</v>
      </c>
      <c r="F988" s="1">
        <f t="shared" si="35"/>
        <v>0</v>
      </c>
    </row>
    <row r="989" s="1" customFormat="1" spans="5:6">
      <c r="E989" s="1">
        <f t="shared" si="34"/>
        <v>0</v>
      </c>
      <c r="F989" s="1">
        <f t="shared" si="35"/>
        <v>0</v>
      </c>
    </row>
    <row r="990" s="1" customFormat="1" spans="5:6">
      <c r="E990" s="1">
        <f t="shared" si="34"/>
        <v>0</v>
      </c>
      <c r="F990" s="1">
        <f t="shared" si="35"/>
        <v>0</v>
      </c>
    </row>
    <row r="991" s="1" customFormat="1" spans="5:6">
      <c r="E991" s="1">
        <f t="shared" si="34"/>
        <v>0</v>
      </c>
      <c r="F991" s="1">
        <f t="shared" si="35"/>
        <v>0</v>
      </c>
    </row>
    <row r="992" s="1" customFormat="1" spans="5:6">
      <c r="E992" s="1">
        <f t="shared" si="34"/>
        <v>0</v>
      </c>
      <c r="F992" s="1">
        <f t="shared" si="35"/>
        <v>0</v>
      </c>
    </row>
    <row r="993" s="1" customFormat="1" spans="5:6">
      <c r="E993" s="1">
        <f t="shared" si="34"/>
        <v>0</v>
      </c>
      <c r="F993" s="1">
        <f t="shared" si="35"/>
        <v>0</v>
      </c>
    </row>
    <row r="994" s="1" customFormat="1" spans="5:6">
      <c r="E994" s="1">
        <f t="shared" si="34"/>
        <v>0</v>
      </c>
      <c r="F994" s="1">
        <f t="shared" si="35"/>
        <v>0</v>
      </c>
    </row>
    <row r="995" s="1" customFormat="1" spans="5:6">
      <c r="E995" s="1">
        <f t="shared" si="34"/>
        <v>0</v>
      </c>
      <c r="F995" s="1">
        <f t="shared" si="35"/>
        <v>0</v>
      </c>
    </row>
    <row r="996" s="1" customFormat="1" spans="5:6">
      <c r="E996" s="1">
        <f t="shared" si="34"/>
        <v>0</v>
      </c>
      <c r="F996" s="1">
        <f t="shared" si="35"/>
        <v>0</v>
      </c>
    </row>
    <row r="997" s="1" customFormat="1" spans="5:6">
      <c r="E997" s="1">
        <f t="shared" si="34"/>
        <v>0</v>
      </c>
      <c r="F997" s="1">
        <f t="shared" si="35"/>
        <v>0</v>
      </c>
    </row>
    <row r="998" s="1" customFormat="1" spans="5:6">
      <c r="E998" s="1">
        <f t="shared" si="34"/>
        <v>0</v>
      </c>
      <c r="F998" s="1">
        <f t="shared" si="35"/>
        <v>0</v>
      </c>
    </row>
    <row r="999" s="1" customFormat="1" spans="5:6">
      <c r="E999" s="1">
        <f t="shared" si="34"/>
        <v>0</v>
      </c>
      <c r="F999" s="1">
        <f t="shared" si="35"/>
        <v>0</v>
      </c>
    </row>
    <row r="1000" s="1" customFormat="1" spans="5:6">
      <c r="E1000" s="1">
        <f t="shared" si="34"/>
        <v>0</v>
      </c>
      <c r="F1000" s="1">
        <f t="shared" si="35"/>
        <v>0</v>
      </c>
    </row>
    <row r="1001" s="1" customFormat="1" spans="5:6">
      <c r="E1001" s="1">
        <f t="shared" si="34"/>
        <v>0</v>
      </c>
      <c r="F1001" s="1">
        <f t="shared" si="35"/>
        <v>0</v>
      </c>
    </row>
  </sheetData>
  <dataValidations count="1">
    <dataValidation type="list" allowBlank="1" showInputMessage="1" showErrorMessage="1" sqref="B10 B1:B9 B11:B1048576">
      <formula1>"买入,卖出"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513500标普500</vt:lpstr>
      <vt:lpstr>513110纳斯达克100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囚徒</cp:lastModifiedBy>
  <dcterms:created xsi:type="dcterms:W3CDTF">2023-05-12T11:15:00Z</dcterms:created>
  <dcterms:modified xsi:type="dcterms:W3CDTF">2026-06-02T02:17:29Z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9C6E1DB9EA0048358F1731CC8776FF33_12</vt:lpwstr>
  </property>
  <property fmtid="{D5CDD505-2E9C-101B-9397-08002B2CF9AE}" pid="4" name="CalculationRule">
    <vt:i4>0</vt:i4>
  </property>
</Properties>
</file>